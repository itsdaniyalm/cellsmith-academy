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cellsmith-academy\site\practice\"/>
    </mc:Choice>
  </mc:AlternateContent>
  <xr:revisionPtr revIDLastSave="0" documentId="8_{BC88E6EE-8E3A-4304-B9E8-0B6E155819E2}" xr6:coauthVersionLast="47" xr6:coauthVersionMax="47" xr10:uidLastSave="{00000000-0000-0000-0000-000000000000}"/>
  <bookViews>
    <workbookView xWindow="28680" yWindow="-120" windowWidth="29040" windowHeight="15720" xr2:uid="{1D813802-1DBD-4E5E-9EA2-DE4ED15B24A2}"/>
  </bookViews>
  <sheets>
    <sheet name="Start here" sheetId="1" r:id="rId1"/>
    <sheet name="Sales" sheetId="2" r:id="rId2"/>
    <sheet name="Products" sheetId="3" r:id="rId3"/>
    <sheet name="Staff" sheetId="4" r:id="rId4"/>
    <sheet name="Leads" sheetId="5" r:id="rId5"/>
    <sheet name="Targets" sheetId="6" r:id="rId6"/>
    <sheet name="Tiers" sheetId="7" r:id="rId7"/>
    <sheet name="Settings" sheetId="8" r:id="rId8"/>
    <sheet name="Answers" sheetId="10" state="veryHidden" r:id="rId9"/>
    <sheet name="A1" sheetId="11" r:id="rId10"/>
    <sheet name="A2" sheetId="12" r:id="rId11"/>
    <sheet name="A3" sheetId="13" r:id="rId12"/>
    <sheet name="A4" sheetId="14" r:id="rId13"/>
    <sheet name="B1" sheetId="15" r:id="rId14"/>
    <sheet name="B2" sheetId="16" r:id="rId15"/>
    <sheet name="B3" sheetId="17" r:id="rId16"/>
    <sheet name="B4" sheetId="18" r:id="rId17"/>
    <sheet name="B5" sheetId="19" r:id="rId18"/>
    <sheet name="C1" sheetId="20" r:id="rId19"/>
    <sheet name="C2" sheetId="21" r:id="rId20"/>
    <sheet name="C3" sheetId="22" r:id="rId21"/>
    <sheet name="C4" sheetId="23" r:id="rId22"/>
    <sheet name="C5" sheetId="24" r:id="rId23"/>
    <sheet name="D1" sheetId="25" r:id="rId24"/>
    <sheet name="D2" sheetId="26" r:id="rId25"/>
    <sheet name="D3" sheetId="27" r:id="rId26"/>
  </sheets>
  <definedNames>
    <definedName name="Margin" comment="Profit as a fraction of price.">_xlfn.LAMBDA(_xlpm.price,_xlpm.cost, (_xlpm.price - _xlpm.cost) / _xlpm.price)</definedName>
    <definedName name="MinOrder">Settings!$B$5</definedName>
    <definedName name="QuarterOf" comment="The calendar quarter of a date, like Q2.">_xlfn.LAMBDA(_xlpm.date, "Q" &amp; ROUNDUP(MONTH(_xlpm.date) / 3, 0))</definedName>
    <definedName name="ReportEnd">Settings!$B$4</definedName>
    <definedName name="ReportStart">Settings!$B$3</definedName>
    <definedName name="TaxRate">Settings!$B$2</definedName>
    <definedName name="WithTax" comment="Adds tax at TaxRate, or at the rate you give.">_xlfn.LAMBDA(_xlpm.amount,_xlop.rate, _xlpm.amount * (1 + IF(_xlfn.ISOMITTED(_xlpm.rate), TaxRate, _xlpm.rate)))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27" l="1"/>
  <c r="B263" i="10"/>
  <c r="A24" i="27"/>
  <c r="B261" i="10"/>
  <c r="A15" i="27" a="1"/>
  <c r="A15" i="27" s="1"/>
  <c r="B254" i="10" a="1"/>
  <c r="B254" i="10" s="1"/>
  <c r="A10" i="27" a="1"/>
  <c r="A10" i="27" s="1"/>
  <c r="B251" i="10" a="1"/>
  <c r="B251" i="10" s="1"/>
  <c r="A6" i="27"/>
  <c r="B249" i="10"/>
  <c r="A14" i="26"/>
  <c r="B247" i="10"/>
  <c r="A10" i="26"/>
  <c r="B245" i="10"/>
  <c r="A6" i="26"/>
  <c r="B243" i="10"/>
  <c r="A18" i="25"/>
  <c r="B241" i="10" a="1"/>
  <c r="B241" i="10" s="1"/>
  <c r="A14" i="25"/>
  <c r="B239" i="10" a="1"/>
  <c r="B239" i="10" s="1"/>
  <c r="A10" i="25"/>
  <c r="B237" i="10"/>
  <c r="A6" i="25"/>
  <c r="B235" i="10"/>
  <c r="A29" i="24" a="1"/>
  <c r="A29" i="24" s="1"/>
  <c r="B229" i="10" a="1"/>
  <c r="B229" i="10" s="1"/>
  <c r="A25" i="24"/>
  <c r="B227" i="10" a="1"/>
  <c r="B227" i="10" s="1"/>
  <c r="A14" i="24" a="1"/>
  <c r="A14" i="24" s="1"/>
  <c r="B218" i="10" a="1"/>
  <c r="B218" i="10" s="1"/>
  <c r="A10" i="24"/>
  <c r="B216" i="10" a="1"/>
  <c r="B216" i="10" s="1"/>
  <c r="A6" i="24"/>
  <c r="B214" i="10" a="1"/>
  <c r="B214" i="10" s="1"/>
  <c r="A18" i="23"/>
  <c r="B212" i="10" a="1"/>
  <c r="B212" i="10" s="1"/>
  <c r="A14" i="23"/>
  <c r="B210" i="10"/>
  <c r="A10" i="23"/>
  <c r="B208" i="10"/>
  <c r="A6" i="23"/>
  <c r="B206" i="10"/>
  <c r="A42" i="22" a="1"/>
  <c r="A42" i="22" s="1"/>
  <c r="B201" i="10" a="1"/>
  <c r="B201" i="10" s="1"/>
  <c r="A37" i="22" a="1"/>
  <c r="A37" i="22" s="1"/>
  <c r="B198" i="10" a="1"/>
  <c r="B198" i="10" s="1"/>
  <c r="A25" i="22" a="1"/>
  <c r="A25" i="22" s="1"/>
  <c r="B188" i="10" a="1"/>
  <c r="B188" i="10" s="1"/>
  <c r="A17" i="22" a="1"/>
  <c r="A17" i="22" s="1"/>
  <c r="B182" i="10" a="1"/>
  <c r="B182" i="10" s="1"/>
  <c r="A6" i="22" a="1"/>
  <c r="A6" i="22" s="1"/>
  <c r="B173" i="10" a="1"/>
  <c r="B173" i="10" s="1"/>
  <c r="A47" i="21" a="1"/>
  <c r="A47" i="21" s="1"/>
  <c r="B167" i="10" a="1"/>
  <c r="B167" i="10" s="1"/>
  <c r="A36" i="21" a="1"/>
  <c r="A36" i="21" s="1"/>
  <c r="B158" i="10" a="1"/>
  <c r="B158" i="10" s="1"/>
  <c r="A32" i="21"/>
  <c r="B156" i="10" a="1"/>
  <c r="B156" i="10" s="1"/>
  <c r="A22" i="21" a="1"/>
  <c r="A22" i="21" s="1"/>
  <c r="B148" i="10" a="1"/>
  <c r="B148" i="10" s="1"/>
  <c r="A15" i="21" a="1"/>
  <c r="A15" i="21" s="1"/>
  <c r="B143" i="10" a="1"/>
  <c r="B143" i="10" s="1"/>
  <c r="A6" i="21" a="1"/>
  <c r="A6" i="21" s="1"/>
  <c r="B136" i="10" a="1"/>
  <c r="B136" i="10" s="1"/>
  <c r="A41" i="20" a="1"/>
  <c r="A41" i="20" s="1"/>
  <c r="B133" i="10" a="1"/>
  <c r="B133" i="10" s="1"/>
  <c r="A37" i="20" a="1"/>
  <c r="A37" i="20" s="1"/>
  <c r="B131" i="10" a="1"/>
  <c r="B131" i="10" s="1"/>
  <c r="A30" i="20" a="1"/>
  <c r="A30" i="20" s="1"/>
  <c r="B126" i="10" a="1"/>
  <c r="B126" i="10" s="1"/>
  <c r="A19" i="20" a="1"/>
  <c r="A19" i="20"/>
  <c r="B117" i="10" a="1"/>
  <c r="B117" i="10" s="1"/>
  <c r="A6" i="20" a="1"/>
  <c r="A6" i="20" s="1"/>
  <c r="B106" i="10" a="1"/>
  <c r="B106" i="10" s="1"/>
  <c r="A26" i="19"/>
  <c r="B104" i="10" a="1"/>
  <c r="B104" i="10" s="1"/>
  <c r="A22" i="19"/>
  <c r="B102" i="10" a="1"/>
  <c r="B102" i="10" s="1"/>
  <c r="A18" i="19"/>
  <c r="B100" i="10"/>
  <c r="A14" i="19"/>
  <c r="B98" i="10"/>
  <c r="A10" i="19"/>
  <c r="B96" i="10"/>
  <c r="A6" i="19"/>
  <c r="B94" i="10"/>
  <c r="A22" i="18"/>
  <c r="B92" i="10"/>
  <c r="A18" i="18"/>
  <c r="B90" i="10"/>
  <c r="A14" i="18"/>
  <c r="B88" i="10" a="1"/>
  <c r="B88" i="10" s="1"/>
  <c r="A10" i="18"/>
  <c r="B86" i="10"/>
  <c r="A6" i="18"/>
  <c r="B84" i="10"/>
  <c r="A39" i="17"/>
  <c r="B82" i="10"/>
  <c r="A35" i="17"/>
  <c r="B80" i="10"/>
  <c r="A24" i="17" a="1"/>
  <c r="A24" i="17" s="1"/>
  <c r="B71" i="10" a="1"/>
  <c r="B71" i="10" s="1"/>
  <c r="A15" i="17" a="1"/>
  <c r="A15" i="17" s="1"/>
  <c r="B64" i="10" a="1"/>
  <c r="B64" i="10" s="1"/>
  <c r="A6" i="17" a="1"/>
  <c r="A6" i="17"/>
  <c r="B57" i="10" a="1"/>
  <c r="B57" i="10" s="1"/>
  <c r="A26" i="16"/>
  <c r="B55" i="10"/>
  <c r="A22" i="16"/>
  <c r="B53" i="10" a="1"/>
  <c r="B53" i="10" s="1"/>
  <c r="A18" i="16"/>
  <c r="B51" i="10"/>
  <c r="A14" i="16"/>
  <c r="B49" i="10"/>
  <c r="A10" i="16"/>
  <c r="B47" i="10"/>
  <c r="A6" i="16"/>
  <c r="B45" i="10"/>
  <c r="A22" i="15"/>
  <c r="B43" i="10" a="1"/>
  <c r="B43" i="10" s="1"/>
  <c r="A18" i="15"/>
  <c r="B41" i="10" a="1"/>
  <c r="B41" i="10" s="1"/>
  <c r="A14" i="15"/>
  <c r="B39" i="10" a="1"/>
  <c r="B39" i="10" s="1"/>
  <c r="A10" i="15"/>
  <c r="B37" i="10" a="1"/>
  <c r="B37" i="10" s="1"/>
  <c r="A6" i="15"/>
  <c r="B35" i="10"/>
  <c r="A22" i="14"/>
  <c r="B33" i="10"/>
  <c r="A18" i="14"/>
  <c r="B31" i="10"/>
  <c r="A14" i="14"/>
  <c r="B29" i="10"/>
  <c r="A10" i="14"/>
  <c r="B27" i="10"/>
  <c r="A6" i="14"/>
  <c r="B25" i="10"/>
  <c r="A18" i="13"/>
  <c r="B23" i="10" a="1"/>
  <c r="B23" i="10" s="1"/>
  <c r="A14" i="13"/>
  <c r="B21" i="10"/>
  <c r="A10" i="13"/>
  <c r="B19" i="10"/>
  <c r="A6" i="13"/>
  <c r="B17" i="10" a="1"/>
  <c r="B17" i="10" s="1"/>
  <c r="A18" i="12"/>
  <c r="B15" i="10"/>
  <c r="A14" i="12"/>
  <c r="B13" i="10"/>
  <c r="A10" i="12"/>
  <c r="B11" i="10"/>
  <c r="A6" i="12"/>
  <c r="B9" i="10"/>
  <c r="A18" i="11"/>
  <c r="B7" i="10"/>
  <c r="A14" i="11"/>
  <c r="B5" i="10"/>
  <c r="A10" i="11"/>
  <c r="B3" i="10"/>
  <c r="A6" i="11"/>
  <c r="B1" i="10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<sst xmlns="http://schemas.openxmlformats.org/spreadsheetml/2006/main" count="806" uniqueCount="367">
  <si>
    <t>Order ID</t>
  </si>
  <si>
    <t>Date</t>
  </si>
  <si>
    <t>Region</t>
  </si>
  <si>
    <t>Rep</t>
  </si>
  <si>
    <t>SKU</t>
  </si>
  <si>
    <t>Product</t>
  </si>
  <si>
    <t>Units</t>
  </si>
  <si>
    <t>Price</t>
  </si>
  <si>
    <t>Discount</t>
  </si>
  <si>
    <t>Revenue</t>
  </si>
  <si>
    <t>Status</t>
  </si>
  <si>
    <t>Ship Date</t>
  </si>
  <si>
    <t>SO-1001</t>
  </si>
  <si>
    <t>East</t>
  </si>
  <si>
    <t>Elena</t>
  </si>
  <si>
    <t>BS-103</t>
  </si>
  <si>
    <t>Gel Pen Set</t>
  </si>
  <si>
    <t>Closed</t>
  </si>
  <si>
    <t>SO-1002</t>
  </si>
  <si>
    <t>West</t>
  </si>
  <si>
    <t>Grace</t>
  </si>
  <si>
    <t>Open</t>
  </si>
  <si>
    <t>SO-1003</t>
  </si>
  <si>
    <t>BS-101</t>
  </si>
  <si>
    <t>Desk Lamp</t>
  </si>
  <si>
    <t>SO-1004</t>
  </si>
  <si>
    <t>North</t>
  </si>
  <si>
    <t>Ben</t>
  </si>
  <si>
    <t>BS-102</t>
  </si>
  <si>
    <t>Notebook</t>
  </si>
  <si>
    <t>SO-1005</t>
  </si>
  <si>
    <t>Farid</t>
  </si>
  <si>
    <t>BS-104</t>
  </si>
  <si>
    <t>Monitor Stand</t>
  </si>
  <si>
    <t>SO-1006</t>
  </si>
  <si>
    <t>BS-106</t>
  </si>
  <si>
    <t>Cable Kit</t>
  </si>
  <si>
    <t>SO-1007</t>
  </si>
  <si>
    <t>SO-1008</t>
  </si>
  <si>
    <t>Ava</t>
  </si>
  <si>
    <t>SO-1009</t>
  </si>
  <si>
    <t>SO-1010</t>
  </si>
  <si>
    <t>SO-1011</t>
  </si>
  <si>
    <t>SO-1012</t>
  </si>
  <si>
    <t>SO-1013</t>
  </si>
  <si>
    <t>BS-108</t>
  </si>
  <si>
    <t>Whiteboard</t>
  </si>
  <si>
    <t>SO-1014</t>
  </si>
  <si>
    <t>Hiro</t>
  </si>
  <si>
    <t>SO-1015</t>
  </si>
  <si>
    <t>BS-105</t>
  </si>
  <si>
    <t>Desk Chair</t>
  </si>
  <si>
    <t>SO-1016</t>
  </si>
  <si>
    <t>South</t>
  </si>
  <si>
    <t>Chloe</t>
  </si>
  <si>
    <t>SO-1017</t>
  </si>
  <si>
    <t>SO-1018</t>
  </si>
  <si>
    <t>SO-1019</t>
  </si>
  <si>
    <t>Dev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</si>
  <si>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</si>
  <si>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</si>
  <si>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</si>
  <si>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</si>
  <si>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</si>
  <si>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</si>
  <si>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</si>
  <si>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</si>
  <si>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BS-107</t>
  </si>
  <si>
    <t>Sticky Notes</t>
  </si>
  <si>
    <t>SO-1028</t>
  </si>
  <si>
    <t>SO-1029</t>
  </si>
  <si>
    <t>Cancelled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</si>
  <si>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</si>
  <si>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</si>
  <si>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</si>
  <si>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</si>
  <si>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</si>
  <si>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</si>
  <si>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</si>
  <si>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</si>
  <si>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</si>
  <si>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</si>
  <si>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</si>
  <si>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</si>
  <si>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</si>
  <si>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</si>
  <si>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</si>
  <si>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</si>
  <si>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</si>
  <si>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</si>
  <si>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</si>
  <si>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Category</t>
  </si>
  <si>
    <t>Cost</t>
  </si>
  <si>
    <t>Lighting</t>
  </si>
  <si>
    <t>Paper</t>
  </si>
  <si>
    <t>Writing</t>
  </si>
  <si>
    <t>Furniture</t>
  </si>
  <si>
    <t>Accessories</t>
  </si>
  <si>
    <t>Name</t>
  </si>
  <si>
    <t>Email</t>
  </si>
  <si>
    <t>Hire Date</t>
  </si>
  <si>
    <t>Ava Thompson</t>
  </si>
  <si>
    <t>ava.thompson@brightside.example</t>
  </si>
  <si>
    <t>Benjamin Okafor</t>
  </si>
  <si>
    <t>ben.okafor@brightside.example</t>
  </si>
  <si>
    <t>Chloe Martin</t>
  </si>
  <si>
    <t>chloe.martin@brightside.example</t>
  </si>
  <si>
    <t>Devendra Rao</t>
  </si>
  <si>
    <t>dev.rao@brightside.example</t>
  </si>
  <si>
    <t>Elena Petrova</t>
  </si>
  <si>
    <t>elena.petrova@brightside.example</t>
  </si>
  <si>
    <t>Farid Haddad</t>
  </si>
  <si>
    <t>farid.haddad@brightside.example</t>
  </si>
  <si>
    <t>Grace Lee</t>
  </si>
  <si>
    <t>grace.lee@brightside.example</t>
  </si>
  <si>
    <t>Hiro Tanaka</t>
  </si>
  <si>
    <t>hiro.tanaka@brightside.example</t>
  </si>
  <si>
    <t>Lead</t>
  </si>
  <si>
    <t>Company</t>
  </si>
  <si>
    <t>Location</t>
  </si>
  <si>
    <t>Phone</t>
  </si>
  <si>
    <t>Source</t>
  </si>
  <si>
    <t>L-01</t>
  </si>
  <si>
    <t xml:space="preserve">  maria GARCIA </t>
  </si>
  <si>
    <t>Harbor &amp; Pine</t>
  </si>
  <si>
    <t>Austin, TX</t>
  </si>
  <si>
    <t>(512) 555-0142</t>
  </si>
  <si>
    <t>Web</t>
  </si>
  <si>
    <t>L-02</t>
  </si>
  <si>
    <t>james o'neil</t>
  </si>
  <si>
    <t>Redwood Analytics</t>
  </si>
  <si>
    <t>Denver, CO</t>
  </si>
  <si>
    <t>720.555.0199</t>
  </si>
  <si>
    <t>Referral</t>
  </si>
  <si>
    <t>L-03</t>
  </si>
  <si>
    <t>PRIYA  SHARMA</t>
  </si>
  <si>
    <t>Bluefin Logistics</t>
  </si>
  <si>
    <t>Seattle, WA</t>
  </si>
  <si>
    <t>206 555 0175</t>
  </si>
  <si>
    <t>L-04</t>
  </si>
  <si>
    <t>li wei</t>
  </si>
  <si>
    <t>Copperleaf Studio</t>
  </si>
  <si>
    <t>Boston, MA</t>
  </si>
  <si>
    <t>617-555-0123</t>
  </si>
  <si>
    <t>Event</t>
  </si>
  <si>
    <t>L-05</t>
  </si>
  <si>
    <t>Sofia   Rossi</t>
  </si>
  <si>
    <t>Northgate Clinic</t>
  </si>
  <si>
    <t>Chicago, IL</t>
  </si>
  <si>
    <t>+1 312 555 0110</t>
  </si>
  <si>
    <t>L-06</t>
  </si>
  <si>
    <t xml:space="preserve">noah johnson </t>
  </si>
  <si>
    <t>Summit Foods</t>
  </si>
  <si>
    <t>Miami, FL</t>
  </si>
  <si>
    <t>(305)555-0166</t>
  </si>
  <si>
    <t>Quarter</t>
  </si>
  <si>
    <t>Target</t>
  </si>
  <si>
    <t>Q1</t>
  </si>
  <si>
    <t>Q2</t>
  </si>
  <si>
    <t>Min Sales</t>
  </si>
  <si>
    <t>Rate</t>
  </si>
  <si>
    <t>Setting</t>
  </si>
  <si>
    <t>Value</t>
  </si>
  <si>
    <t>Tax rate</t>
  </si>
  <si>
    <t>Report start</t>
  </si>
  <si>
    <t>Report end</t>
  </si>
  <si>
    <t>Minimum order</t>
  </si>
  <si>
    <t>A1  How Excel thinks</t>
  </si>
  <si>
    <t>Type your formula in each yellow cell. The check below it turns green when your result matches.</t>
  </si>
  <si>
    <t>A1 #1</t>
  </si>
  <si>
    <t>Exercise 1</t>
  </si>
  <si>
    <t>How many orders are there in the Sales table? Count the Order ID column.</t>
  </si>
  <si>
    <t>Your formula</t>
  </si>
  <si>
    <t>A1 #2</t>
  </si>
  <si>
    <t>Exercise 2</t>
  </si>
  <si>
    <t>What is the total number of units sold across all orders?</t>
  </si>
  <si>
    <t>A1 #3</t>
  </si>
  <si>
    <t>Exercise 3</t>
  </si>
  <si>
    <t>How many days are there from 1 January 2026 to 30 June 2026? Use DATE to build both dates and subtract.</t>
  </si>
  <si>
    <t>A1 #4</t>
  </si>
  <si>
    <t>Exercise 4</t>
  </si>
  <si>
    <t>Is the text "682" a number? Write a formula that returns FALSE.</t>
  </si>
  <si>
    <t>A2  References</t>
  </si>
  <si>
    <t>A2 #1</t>
  </si>
  <si>
    <t>What is the minimum order value stored in cell B5 of the Settings sheet?</t>
  </si>
  <si>
    <t>A2 #2</t>
  </si>
  <si>
    <t>How much tax would be due on all revenue? Multiply the total of the Revenue column by the named cell TaxRate.</t>
  </si>
  <si>
    <t>A2 #3</t>
  </si>
  <si>
    <t>How many products are in the Products table? Use a structured reference to the whole table.</t>
  </si>
  <si>
    <t>A2 #4</t>
  </si>
  <si>
    <t>What is the average cost of a product?</t>
  </si>
  <si>
    <t>A3  Operators and order</t>
  </si>
  <si>
    <t>A3 #1</t>
  </si>
  <si>
    <t>What is the total value of all orders before discounts? Multiply the Units column by the Price column and add up the results.</t>
  </si>
  <si>
    <t>A3 #2</t>
  </si>
  <si>
    <t>Write a formula that returns the text Total units: 682, calculating the number from the Sales table.</t>
  </si>
  <si>
    <t>A3 #3</t>
  </si>
  <si>
    <t>How much revenue would there be including tax? Add TaxRate to the total revenue (multiply by one plus the rate) and round to 2 decimal places with ROUND(value, 2).</t>
  </si>
  <si>
    <t>A3 #4</t>
  </si>
  <si>
    <t>How much did discounts cost the business? Subtract total revenue from the value before discounts.</t>
  </si>
  <si>
    <t>A4  Reading and writing functions</t>
  </si>
  <si>
    <t>A4 #1</t>
  </si>
  <si>
    <t>What is the revenue of the largest single order?</t>
  </si>
  <si>
    <t>A4 #2</t>
  </si>
  <si>
    <t>What is the average number of units per order, rounded to one decimal place?</t>
  </si>
  <si>
    <t>A4 #3</t>
  </si>
  <si>
    <t>How many orders haven't shipped yet? Count the empty cells in the Ship Date column.</t>
  </si>
  <si>
    <t>A4 #4</t>
  </si>
  <si>
    <t>Show the date of the most recent order as text like 1 Mar 2026.</t>
  </si>
  <si>
    <t>A4 #5</t>
  </si>
  <si>
    <t>Exercise 5</t>
  </si>
  <si>
    <t>What is the median order revenue? It's less affected by one very large order than the average is.</t>
  </si>
  <si>
    <t>B1  Making decisions</t>
  </si>
  <si>
    <t>B1 #1</t>
  </si>
  <si>
    <t>If total revenue is at least 12,000 return Target met, otherwise return Short by  followed by the shortfall with two decimal places.</t>
  </si>
  <si>
    <t>B1 #2</t>
  </si>
  <si>
    <t>How many orders are closed and in the East region? Multiply two conditions and add up the result.</t>
  </si>
  <si>
    <t>B1 #3</t>
  </si>
  <si>
    <t>Label the average discount: None if it's 0, Light if it's under 5%, and Heavy otherwise. Use IFS.</t>
  </si>
  <si>
    <t>B1 #4</t>
  </si>
  <si>
    <t>How many orders were for 20 units or more? Count them with a comparison and --.</t>
  </si>
  <si>
    <t>B1 #5</t>
  </si>
  <si>
    <t>What is the total revenue of orders that are not cancelled? Use IF on the whole column.</t>
  </si>
  <si>
    <t>B2  Counting and summing with conditions</t>
  </si>
  <si>
    <t>B2 #1</t>
  </si>
  <si>
    <t>What is the total revenue from closed orders in the East region?</t>
  </si>
  <si>
    <t>B2 #2</t>
  </si>
  <si>
    <t>How many orders were placed in the first quarter (January to March 2026)?</t>
  </si>
  <si>
    <t>B2 #3</t>
  </si>
  <si>
    <t>What is the average revenue of orders that had a discount?</t>
  </si>
  <si>
    <t>B2 #4</t>
  </si>
  <si>
    <t>What was Hiro's smallest order, in units?</t>
  </si>
  <si>
    <t>B2 #5</t>
  </si>
  <si>
    <t>What is the total revenue of all orders for Furniture products? The Sales table has no Category column, so match the three furniture products by name: Monitor Stand, Desk Chair and Whiteboard.</t>
  </si>
  <si>
    <t>B2 #6</t>
  </si>
  <si>
    <t>Exercise 6</t>
  </si>
  <si>
    <t>How many orders are not cancelled? Use COUNTIFS with a "not equal" criterion.</t>
  </si>
  <si>
    <t>B3  Working with text</t>
  </si>
  <si>
    <t>B3 #1</t>
  </si>
  <si>
    <t>Tidy up the lead names: remove extra spaces and capitalise each word. Your formula should spill all six names.</t>
  </si>
  <si>
    <t>B3 #2</t>
  </si>
  <si>
    <t>Get each lead's state code: the part of Location after the comma and space.</t>
  </si>
  <si>
    <t>B3 #3</t>
  </si>
  <si>
    <t>Get each sales rep's last name from the Name column of the Staff table.</t>
  </si>
  <si>
    <t>B3 #4</t>
  </si>
  <si>
    <t>List every rep's first name in one cell, separated by a comma and a space.</t>
  </si>
  <si>
    <t>B3 #5</t>
  </si>
  <si>
    <t>Turn the order number SO-1048 into the number 1048, so you could do arithmetic with it.</t>
  </si>
  <si>
    <t>B4  Dates and times</t>
  </si>
  <si>
    <t>B4 #1</t>
  </si>
  <si>
    <t>How many orders were placed in March 2026? Use COUNTIFS with a start and end date.</t>
  </si>
  <si>
    <t>B4 #2</t>
  </si>
  <si>
    <t>What is the last day of the month in which the first order was placed? Show it as text in the form 2026-03-31.</t>
  </si>
  <si>
    <t>B4 #3</t>
  </si>
  <si>
    <t>What is the longest time any order took to ship, in days?</t>
  </si>
  <si>
    <t>B4 #4</t>
  </si>
  <si>
    <t>How many working days are there in the second quarter of 2026 (1 April to 30 June)?</t>
  </si>
  <si>
    <t>B4 #5</t>
  </si>
  <si>
    <t>Which year was the longest-serving rep hired? Find the earliest hire date and take its year.</t>
  </si>
  <si>
    <t>B5  Looking things up</t>
  </si>
  <si>
    <t>B5 #1</t>
  </si>
  <si>
    <t>What is the cost of product BS-108?</t>
  </si>
  <si>
    <t>B5 #2</t>
  </si>
  <si>
    <t>Look up product BS-200. It doesn't exist, so return the text Not found instead of an error.</t>
  </si>
  <si>
    <t>B5 #3</t>
  </si>
  <si>
    <t>What commission rate applies to sales of 8,450? Use the Tiers table.</t>
  </si>
  <si>
    <t>B5 #4</t>
  </si>
  <si>
    <t>On what date did Grace place her most recent order? Show it as text like 1 Mar 2026.</t>
  </si>
  <si>
    <t>B5 #5</t>
  </si>
  <si>
    <t>What is the order ID of the first Desk Chair order in the North region?</t>
  </si>
  <si>
    <t>B5 #6</t>
  </si>
  <si>
    <t>What is the total revenue from Paper products? Look up each order's category, then sum the matching revenue.</t>
  </si>
  <si>
    <t>C1  Arrays and spilling</t>
  </si>
  <si>
    <t>C1 #1</t>
  </si>
  <si>
    <t>Make a column of the numbers 5, 10, 15, … up to 50 with SEQUENCE.</t>
  </si>
  <si>
    <t>C1 #2</t>
  </si>
  <si>
    <t>List each product's profit margin as a fraction of its price: price minus cost, divided by price. Round to 3 decimal places.</t>
  </si>
  <si>
    <t>C1 #3</t>
  </si>
  <si>
    <t>Make a grid of order counts: the four regions down the side (North, South, East, West) and the statuses Closed and Open across the top.</t>
  </si>
  <si>
    <t>C1 #4</t>
  </si>
  <si>
    <t>Spill the full names of the months January to December across one row.</t>
  </si>
  <si>
    <t>C1 #5</t>
  </si>
  <si>
    <t>What is the total revenue of each quarter so far (Q1 and Q2)? Use SUMIFS with arrays of start and end dates.</t>
  </si>
  <si>
    <t>C2  FILTER, SORT and UNIQUE</t>
  </si>
  <si>
    <t>C2 #1</t>
  </si>
  <si>
    <t>List the order IDs of every Desk Chair order.</t>
  </si>
  <si>
    <t>C2 #2</t>
  </si>
  <si>
    <t>List the order IDs of closed orders in the North region with at least 10 units.</t>
  </si>
  <si>
    <t>C2 #3</t>
  </si>
  <si>
    <t>Make an alphabetical list of the products that have been ordered with a discount.</t>
  </si>
  <si>
    <t>C2 #4</t>
  </si>
  <si>
    <t>How many different reps have sold Notebooks?</t>
  </si>
  <si>
    <t>C2 #5</t>
  </si>
  <si>
    <t>List the product names sorted by cost, cheapest first.</t>
  </si>
  <si>
    <t>C2 #6</t>
  </si>
  <si>
    <t>Show the order ID and revenue of the five largest orders, largest first.</t>
  </si>
  <si>
    <t>C3  Reshaping arrays</t>
  </si>
  <si>
    <t>C3 #1</t>
  </si>
  <si>
    <t>Show the product name and category of every product, as a two-column table.</t>
  </si>
  <si>
    <t>C3 #2</t>
  </si>
  <si>
    <t>List the order IDs of the last five orders in the Sales table.</t>
  </si>
  <si>
    <t>C3 #3</t>
  </si>
  <si>
    <t>Build a two-column table of each rep and their hire year, with the header row Rep and Hired.</t>
  </si>
  <si>
    <t>C3 #4</t>
  </si>
  <si>
    <t>Lay out the eight product SKUs as a grid of two rows of four.</t>
  </si>
  <si>
    <t>C3 #5</t>
  </si>
  <si>
    <t>For each region (in the order North, South, East, West), show the region and its number of orders, as a two-column table.</t>
  </si>
  <si>
    <t>C4  Naming things with LET</t>
  </si>
  <si>
    <t>C4 #1</t>
  </si>
  <si>
    <t>Using LET, name the total revenue of closed orders closedTotal, then return it divided by the number of closed orders, rounded to 2 decimals.</t>
  </si>
  <si>
    <t>C4 #2</t>
  </si>
  <si>
    <t>What percentage of all revenue came from the East region? Use LET to name the East total and the overall total, and return the share rounded to 3 decimals.</t>
  </si>
  <si>
    <t>C4 #3</t>
  </si>
  <si>
    <t>Rewrite this formula with LET so the margin calculation appears only once: =IF((SUM(Products[Price])-SUM(Products[Cost]))/SUM(Products[Price])&gt;0.4,"Healthy: "&amp;TEXT((SUM(Products[Price])-SUM(Products[Cost]))/SUM(Products[Price]),"0%"),"Thin")</t>
  </si>
  <si>
    <t>C4 #4</t>
  </si>
  <si>
    <t>List the order IDs of open orders worth more than the average order, using LET to name the average.</t>
  </si>
  <si>
    <t>C5  Your own functions with LAMBDA</t>
  </si>
  <si>
    <t>C5 #1</t>
  </si>
  <si>
    <t>Call an unnamed LAMBDA that doubles a number, giving it the input 21.</t>
  </si>
  <si>
    <t>C5 #2</t>
  </si>
  <si>
    <t>What is the price of a Desk Lamp including tax at the default rate? Look up the price, then use WithTax.</t>
  </si>
  <si>
    <t>C5 #3</t>
  </si>
  <si>
    <t>Use MAP to count each rep's orders of any status, in the order of the Staff table.</t>
  </si>
  <si>
    <t>C5 #4</t>
  </si>
  <si>
    <t>Use QuarterOf on the whole Date column and count how many orders fall in Q2.</t>
  </si>
  <si>
    <t>C5 #5</t>
  </si>
  <si>
    <t>Use SCAN to make a running total of units across all orders, and return just the last five values with TAKE.</t>
  </si>
  <si>
    <t>D1  Errors and debugging</t>
  </si>
  <si>
    <t>D1 #1</t>
  </si>
  <si>
    <t>Divide total revenue by the number of orders in the "Central" region, returning 0 instead of an error when there are none. Don't use IFERROR.</t>
  </si>
  <si>
    <t>D1 #2</t>
  </si>
  <si>
    <t>Look up the price of SKU BS-110, returning the text Discontinued if it isn't found. Catch only the "not found" case.</t>
  </si>
  <si>
    <t>D1 #3</t>
  </si>
  <si>
    <t>List the order IDs of orders over 1,000 units, or the text None if there aren't any.</t>
  </si>
  <si>
    <t>D1 #4</t>
  </si>
  <si>
    <t>Add up the array {5; #DIV/0!; 15; #N/A; 20} while ignoring its errors.</t>
  </si>
  <si>
    <t>D2  Formulas other people can read</t>
  </si>
  <si>
    <t>D2 #1</t>
  </si>
  <si>
    <t>Rewrite =SUMIFS(Sales[Revenue],Sales[Region],"North")/SUM(Sales[Revenue])*100 with LET, naming the two totals, and round the percentage to 1 decimal place.</t>
  </si>
  <si>
    <t>D2 #2</t>
  </si>
  <si>
    <t>Rewrite =IF(SUMIFS(Sales[Units],Sales[Rep],"Dev")&gt;100,SUMIFS(Sales[Units],Sales[Rep],"Dev")0.5,SUMIFS(Sales[Units],Sales[Rep],"Dev")0.25) so the SUMIFS appears only once.</t>
  </si>
  <si>
    <t>D2 #3</t>
  </si>
  <si>
    <t>This formula hides the minimum order value inside it: =COUNTIFS(Sales[Revenue],"&gt;=100"). Rewrite it to use the named cell MinOrder instead.</t>
  </si>
  <si>
    <t>D3  Recipe book</t>
  </si>
  <si>
    <t>D3 #1</t>
  </si>
  <si>
    <t>What share of total units did the West region sell? Round to 3 decimal places.</t>
  </si>
  <si>
    <t>D3 #2</t>
  </si>
  <si>
    <t>List the two cheapest products by price, cheapest first.</t>
  </si>
  <si>
    <t>D3 #3</t>
  </si>
  <si>
    <t>Which reps have never had a cancelled order? List them in Staff table order.</t>
  </si>
  <si>
    <t>D3 #4</t>
  </si>
  <si>
    <t>What product did Chloe sell most recently?</t>
  </si>
  <si>
    <t>D3 #5</t>
  </si>
  <si>
    <t>Show the order ID SO-1001 with its number part padded to six digits: SO-001001.</t>
  </si>
  <si>
    <t>Cellsmith Academy practice workbook</t>
  </si>
  <si>
    <t>This workbook goes with the free course at itsdaniyalm.github.io/cellsmith-academy</t>
  </si>
  <si>
    <t>Data sheets (used by every example in the book):</t>
  </si>
  <si>
    <t xml:space="preserve">   Sales      48 orders from Brightside Supply Co., January to June 2026 (table: Sales)</t>
  </si>
  <si>
    <t xml:space="preserve">   Products   8 products with price and cost (table: Products)</t>
  </si>
  <si>
    <t xml:space="preserve">   Staff      8 sales reps (table: Staff)</t>
  </si>
  <si>
    <t xml:space="preserve">   Leads      6 messy contact records for the text chapter (table: Leads)</t>
  </si>
  <si>
    <t xml:space="preserve">   Targets    quarterly revenue targets by region (table: Targets)</t>
  </si>
  <si>
    <t xml:space="preserve">   Tiers      commission rates by sales band (table: Tiers)</t>
  </si>
  <si>
    <t xml:space="preserve">   Settings   named cells TaxRate, ReportStart, ReportEnd and MinOrder</t>
  </si>
  <si>
    <t>Exercise sheets are named after chapters (A1, A2, B1 ...). Type a formula in a yellow cell;</t>
  </si>
  <si>
    <t>the check below it shows Correct when the result matches. Answers are in the book.</t>
  </si>
  <si>
    <t>Made by Muhammad Daniyal. Free to use and share under CC BY 4.0.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</si>
</sst>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theme="1"/>
      <name val="Consolas"/>
      <family val="2"/>
    </font>
    <font>
      <b/>
      <sz val="10"/>
      <color theme="1"/>
      <name val="Consolas"/>
      <family val="3"/>
    </font>
    <font>
      <b/>
      <sz val="16"/>
      <color theme="1"/>
      <name val="Consolas"/>
      <family val="3"/>
    </font>
    <font>
      <sz val="10"/>
      <color rgb="FF808080"/>
      <name val="Consolas"/>
      <family val="2"/>
    </font>
    <font>
      <b/>
      <sz val="2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3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2" borderId="0" xfId="0" applyFill="1" applyAlignment="1"/>
    <xf numFmtId="0" fontId="4" fillId="0" borderId="0" xfId="0" applyFont="1"/>
  </cellXfs>
  <cellStyles count="1">
    <cellStyle name="Normal" xfId="0" builtinId="0"/>
  </cellStyles>
  <dxfs count="9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3" formatCode="#,##0"/>
    </dxf>
    <dxf>
      <numFmt numFmtId="3" formatCode="#,##0"/>
    </dxf>
    <dxf>
      <numFmt numFmtId="164" formatCode="yyyy\-mm\-dd"/>
    </dxf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numFmt numFmtId="4" formatCode="#,##0.00"/>
    </dxf>
    <dxf>
      <numFmt numFmtId="164" formatCode="yyyy\-mm\-dd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7CC1-4FFE-4DA4-A32A-3A4415DFA97B}" name="Sales" displayName="Sales" ref="A1:L49" totalsRowShown="0">
  <autoFilter ref="A1:L49" xr:uid="{AFD57CC1-4FFE-4DA4-A32A-3A4415DFA97B}"/>
  <tableColumns count="12">
    <tableColumn id="1" xr3:uid="{C51F1DB3-F002-4636-BF44-60FC47819059}" name="Order ID"/>
    <tableColumn id="2" xr3:uid="{83D8A34F-2ED8-4E7D-9164-D4C128D0725B}" name="Date" dataDxfId="91"/>
    <tableColumn id="3" xr3:uid="{36D040E5-8AD9-4A57-ACE5-65A7B7442B40}" name="Region"/>
    <tableColumn id="4" xr3:uid="{C0F92103-6E16-4492-85A7-08D229CCBB31}" name="Rep"/>
    <tableColumn id="5" xr3:uid="{A13F9D66-FA1C-4AAA-9DFD-864292CAD00F}" name="SKU"/>
    <tableColumn id="6" xr3:uid="{CAF3E9A6-83C3-4DCF-B6B7-D323C5A7F550}" name="Product"/>
    <tableColumn id="7" xr3:uid="{FC0BFAAA-AB56-4BCC-9E46-4908762428CC}" name="Units"/>
    <tableColumn id="8" xr3:uid="{49A2109A-6B09-41FA-AA90-5A9900E61E78}" name="Price" dataDxfId="89"/>
    <tableColumn id="9" xr3:uid="{AE0B3BD2-5179-4BA8-91FC-6B60992F4625}" name="Discount" dataDxfId="87"/>
    <tableColumn id="10" xr3:uid="{E9B8966D-3487-4E12-AC9C-57ADF215A9BA}" name="Revenue" dataDxfId="88">
      <calculatedColumnFormula>ROUND(Sales[[#This Row],[Units]]*Sales[[#This Row],[Price]]*(1-Sales[[#This Row],[Discount]]),2)</calculatedColumnFormula>
    </tableColumn>
    <tableColumn id="11" xr3:uid="{69D404E6-C123-47D0-B51D-D51B745A2019}" name="Status"/>
    <tableColumn id="12" xr3:uid="{ADAAFBC7-363F-43B0-9429-0980ED41AC3C}" name="Ship Date" dataDxfId="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255BF-D883-49F3-B275-E4DACDE0D3D3}" name="Products" displayName="Products" ref="A1:E9" totalsRowShown="0">
  <autoFilter ref="A1:E9" xr:uid="{748255BF-D883-49F3-B275-E4DACDE0D3D3}"/>
  <tableColumns count="5">
    <tableColumn id="1" xr3:uid="{CD54BCEC-A5C9-4399-BCE8-714C87B1C406}" name="SKU"/>
    <tableColumn id="2" xr3:uid="{0145A095-BA54-409D-BCE6-3A532FFE5D86}" name="Product"/>
    <tableColumn id="3" xr3:uid="{04CDC2BD-4E4B-4A1D-9446-4DE6ABBAA04E}" name="Category"/>
    <tableColumn id="4" xr3:uid="{14AD92DA-96AC-4965-8F21-E921BDCB59DA}" name="Price" dataDxfId="86"/>
    <tableColumn id="5" xr3:uid="{03A8DB27-8E9D-4A17-B619-9EF794A72B03}" name="Cost" dataDxfId="8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81A5-2781-4FD0-84AE-AD08A5218EFC}" name="Staff" displayName="Staff" ref="A1:E9" totalsRowShown="0">
  <autoFilter ref="A1:E9" xr:uid="{027381A5-2781-4FD0-84AE-AD08A5218EFC}"/>
  <tableColumns count="5">
    <tableColumn id="1" xr3:uid="{DF7914DE-FEF6-42F5-8893-66382B127684}" name="Rep"/>
    <tableColumn id="2" xr3:uid="{9953E930-96C6-4673-9E1A-18B6154F94BD}" name="Name"/>
    <tableColumn id="3" xr3:uid="{D9382DB7-6E0F-4F3F-97B1-EDB926877F15}" name="Email"/>
    <tableColumn id="4" xr3:uid="{24051871-2FF3-41A2-A524-A63DB6E6B35F}" name="Region"/>
    <tableColumn id="5" xr3:uid="{16645C47-C8CD-4900-9F68-C2CA962CB889}" name="Hire Date" dataDxfId="8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877E87-6125-488C-9023-134B10B9901A}" name="Leads" displayName="Leads" ref="A1:F7" totalsRowShown="0">
  <autoFilter ref="A1:F7" xr:uid="{B0877E87-6125-488C-9023-134B10B9901A}"/>
  <tableColumns count="6">
    <tableColumn id="1" xr3:uid="{AAD59D23-0938-42F2-9913-4E4336A21DE7}" name="Lead"/>
    <tableColumn id="2" xr3:uid="{9A4D91EA-DBC1-482C-A77B-532A5A92C519}" name="Name"/>
    <tableColumn id="3" xr3:uid="{D66CD074-35D0-4F68-84DF-15B5A97A45DA}" name="Company"/>
    <tableColumn id="4" xr3:uid="{389F4223-C476-4C19-BE41-03F13DF81BBF}" name="Location"/>
    <tableColumn id="5" xr3:uid="{AA3300A9-E9EA-4845-8D79-2E87F9425BB9}" name="Phone"/>
    <tableColumn id="6" xr3:uid="{F4E6301B-92B6-41D0-95B6-B490B5B78831}" name="Sourc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C43869-5E54-4B3C-B687-B52C7BF547EA}" name="Targets" displayName="Targets" ref="A1:C9" totalsRowShown="0">
  <autoFilter ref="A1:C9" xr:uid="{69C43869-5E54-4B3C-B687-B52C7BF547EA}"/>
  <tableColumns count="3">
    <tableColumn id="1" xr3:uid="{2E2AED00-5E63-440E-87FE-43D4C59EC438}" name="Region"/>
    <tableColumn id="2" xr3:uid="{17BC0623-4B74-40B8-BF20-07D8D0C7A6C6}" name="Quarter"/>
    <tableColumn id="3" xr3:uid="{BA071E30-210F-461F-8753-C9702D162079}" name="Target" dataDxfId="8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96E85-56DC-499B-8627-C591BE31383A}" name="Tiers" displayName="Tiers" ref="A1:B5" totalsRowShown="0">
  <autoFilter ref="A1:B5" xr:uid="{9CC96E85-56DC-499B-8627-C591BE31383A}"/>
  <tableColumns count="2">
    <tableColumn id="1" xr3:uid="{6912975A-62A9-4F8D-BE65-BF039245CC9A}" name="Min Sales" dataDxfId="82"/>
    <tableColumn id="2" xr3:uid="{B9980F48-D541-4945-B103-8C222CFBFCFC}" name="Rate" dataDxfId="8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2939-26D7-42CE-90DA-E6BD65C0F4D4}">
  <dimension ref="A1:A17"/>
  <sheetViews>
    <sheetView tabSelected="1" workbookViewId="0"/>
  </sheetViews>
  <sheetFormatPr defaultRowHeight="12.75" x14ac:dyDescent="0.2"/>
  <cols>
    <col min="1" max="1" width="100.7109375" customWidth="1"/>
  </cols>
  <sheetData>
    <row r="1" spans="1:1" ht="26.25" x14ac:dyDescent="0.4">
      <c r="A1" s="11" t="s">
        <v>354</v>
      </c>
    </row>
    <row r="3" spans="1:1" x14ac:dyDescent="0.2">
      <c r="A3" t="s">
        <v>355</v>
      </c>
    </row>
    <row r="5" spans="1:1" x14ac:dyDescent="0.2">
      <c r="A5" t="s">
        <v>356</v>
      </c>
    </row>
    <row r="6" spans="1:1" x14ac:dyDescent="0.2">
      <c r="A6" t="s">
        <v>357</v>
      </c>
    </row>
    <row r="7" spans="1:1" x14ac:dyDescent="0.2">
      <c r="A7" t="s">
        <v>358</v>
      </c>
    </row>
    <row r="8" spans="1:1" x14ac:dyDescent="0.2">
      <c r="A8" t="s">
        <v>359</v>
      </c>
    </row>
    <row r="9" spans="1:1" x14ac:dyDescent="0.2">
      <c r="A9" t="s">
        <v>360</v>
      </c>
    </row>
    <row r="10" spans="1:1" x14ac:dyDescent="0.2">
      <c r="A10" t="s">
        <v>361</v>
      </c>
    </row>
    <row r="11" spans="1:1" x14ac:dyDescent="0.2">
      <c r="A11" t="s">
        <v>362</v>
      </c>
    </row>
    <row r="12" spans="1:1" x14ac:dyDescent="0.2">
      <c r="A12" t="s">
        <v>363</v>
      </c>
    </row>
    <row r="14" spans="1:1" x14ac:dyDescent="0.2">
      <c r="A14" t="s">
        <v>364</v>
      </c>
    </row>
    <row r="15" spans="1:1" x14ac:dyDescent="0.2">
      <c r="A15" t="s">
        <v>365</v>
      </c>
    </row>
    <row r="17" spans="1:1" x14ac:dyDescent="0.2">
      <c r="A17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97AC-D16D-4B86-B6BB-7FA9F3F52A31}">
  <dimension ref="A1:L49"/>
  <sheetViews>
    <sheetView workbookViewId="0"/>
  </sheetViews>
  <sheetFormatPr defaultRowHeight="12.75" x14ac:dyDescent="0.2"/>
  <cols>
    <col min="1" max="1" width="11.28515625" bestFit="1" customWidth="1"/>
    <col min="2" max="2" width="11" bestFit="1" customWidth="1"/>
    <col min="3" max="3" width="9.28515625" bestFit="1" customWidth="1"/>
    <col min="4" max="4" width="6.28515625" bestFit="1" customWidth="1"/>
    <col min="5" max="5" width="7" bestFit="1" customWidth="1"/>
    <col min="6" max="6" width="14.140625" bestFit="1" customWidth="1"/>
    <col min="7" max="8" width="8.28515625" bestFit="1" customWidth="1"/>
    <col min="9" max="9" width="11.28515625" bestFit="1" customWidth="1"/>
    <col min="10" max="10" width="10.28515625" bestFit="1" customWidth="1"/>
    <col min="11" max="11" width="10" bestFit="1" customWidth="1"/>
    <col min="12" max="12" width="12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46024</v>
      </c>
      <c r="C2" t="s">
        <v>13</v>
      </c>
      <c r="D2" t="s">
        <v>14</v>
      </c>
      <c r="E2" t="s">
        <v>15</v>
      </c>
      <c r="F2" t="s">
        <v>16</v>
      </c>
      <c r="G2">
        <v>28</v>
      </c>
      <c r="H2" s="2">
        <v>9</v>
      </c>
      <c r="I2" s="3">
        <v>0.15</v>
      </c>
      <c r="J2" s="2">
        <f>ROUND(Sales[[#This Row],[Units]]*Sales[[#This Row],[Price]]*(1-Sales[[#This Row],[Discount]]),2)</f>
        <v>214.2</v>
      </c>
      <c r="K2" t="s">
        <v>17</v>
      </c>
      <c r="L2" s="1">
        <v>46031</v>
      </c>
    </row>
    <row r="3" spans="1:12" x14ac:dyDescent="0.2">
      <c r="A3" t="s">
        <v>18</v>
      </c>
      <c r="B3" s="1">
        <v>46027</v>
      </c>
      <c r="C3" t="s">
        <v>19</v>
      </c>
      <c r="D3" t="s">
        <v>20</v>
      </c>
      <c r="E3" t="s">
        <v>15</v>
      </c>
      <c r="F3" t="s">
        <v>16</v>
      </c>
      <c r="G3">
        <v>14</v>
      </c>
      <c r="H3" s="2">
        <v>9</v>
      </c>
      <c r="I3" s="3">
        <v>0.05</v>
      </c>
      <c r="J3" s="2">
        <f>ROUND(Sales[[#This Row],[Units]]*Sales[[#This Row],[Price]]*(1-Sales[[#This Row],[Discount]]),2)</f>
        <v>119.7</v>
      </c>
      <c r="K3" t="s">
        <v>21</v>
      </c>
      <c r="L3" s="1"/>
    </row>
    <row r="4" spans="1:12" x14ac:dyDescent="0.2">
      <c r="A4" t="s">
        <v>22</v>
      </c>
      <c r="B4" s="1">
        <v>46031</v>
      </c>
      <c r="C4" t="s">
        <v>19</v>
      </c>
      <c r="D4" t="s">
        <v>20</v>
      </c>
      <c r="E4" t="s">
        <v>23</v>
      </c>
      <c r="F4" t="s">
        <v>24</v>
      </c>
      <c r="G4">
        <v>6</v>
      </c>
      <c r="H4" s="2">
        <v>34</v>
      </c>
      <c r="I4" s="3">
        <v>0.05</v>
      </c>
      <c r="J4" s="2">
        <f>ROUND(Sales[[#This Row],[Units]]*Sales[[#This Row],[Price]]*(1-Sales[[#This Row],[Discount]]),2)</f>
        <v>193.8</v>
      </c>
      <c r="K4" t="s">
        <v>17</v>
      </c>
      <c r="L4" s="1">
        <v>46033</v>
      </c>
    </row>
    <row r="5" spans="1:12" x14ac:dyDescent="0.2">
      <c r="A5" t="s">
        <v>25</v>
      </c>
      <c r="B5" s="1">
        <v>46035</v>
      </c>
      <c r="C5" t="s">
        <v>26</v>
      </c>
      <c r="D5" t="s">
        <v>27</v>
      </c>
      <c r="E5" t="s">
        <v>28</v>
      </c>
      <c r="F5" t="s">
        <v>29</v>
      </c>
      <c r="G5">
        <v>55</v>
      </c>
      <c r="H5" s="2">
        <v>6.5</v>
      </c>
      <c r="I5" s="3">
        <v>0</v>
      </c>
      <c r="J5" s="2">
        <f>ROUND(Sales[[#This Row],[Units]]*Sales[[#This Row],[Price]]*(1-Sales[[#This Row],[Discount]]),2)</f>
        <v>357.5</v>
      </c>
      <c r="K5" t="s">
        <v>17</v>
      </c>
      <c r="L5" s="1">
        <v>46042</v>
      </c>
    </row>
    <row r="6" spans="1:12" x14ac:dyDescent="0.2">
      <c r="A6" t="s">
        <v>30</v>
      </c>
      <c r="B6" s="1">
        <v>46038</v>
      </c>
      <c r="C6" t="s">
        <v>13</v>
      </c>
      <c r="D6" t="s">
        <v>31</v>
      </c>
      <c r="E6" t="s">
        <v>32</v>
      </c>
      <c r="F6" t="s">
        <v>33</v>
      </c>
      <c r="G6">
        <v>5</v>
      </c>
      <c r="H6" s="2">
        <v>49</v>
      </c>
      <c r="I6" s="3">
        <v>0</v>
      </c>
      <c r="J6" s="2">
        <f>ROUND(Sales[[#This Row],[Units]]*Sales[[#This Row],[Price]]*(1-Sales[[#This Row],[Discount]]),2)</f>
        <v>245</v>
      </c>
      <c r="K6" t="s">
        <v>21</v>
      </c>
      <c r="L6" s="1"/>
    </row>
    <row r="7" spans="1:12" x14ac:dyDescent="0.2">
      <c r="A7" t="s">
        <v>34</v>
      </c>
      <c r="B7" s="1">
        <v>46042</v>
      </c>
      <c r="C7" t="s">
        <v>26</v>
      </c>
      <c r="D7" t="s">
        <v>27</v>
      </c>
      <c r="E7" t="s">
        <v>35</v>
      </c>
      <c r="F7" t="s">
        <v>36</v>
      </c>
      <c r="G7">
        <v>16</v>
      </c>
      <c r="H7" s="2">
        <v>14</v>
      </c>
      <c r="I7" s="3">
        <v>0</v>
      </c>
      <c r="J7" s="2">
        <f>ROUND(Sales[[#This Row],[Units]]*Sales[[#This Row],[Price]]*(1-Sales[[#This Row],[Discount]]),2)</f>
        <v>224</v>
      </c>
      <c r="K7" t="s">
        <v>17</v>
      </c>
      <c r="L7" s="1">
        <v>46049</v>
      </c>
    </row>
    <row r="8" spans="1:12" x14ac:dyDescent="0.2">
      <c r="A8" t="s">
        <v>37</v>
      </c>
      <c r="B8" s="1">
        <v>46046</v>
      </c>
      <c r="C8" t="s">
        <v>13</v>
      </c>
      <c r="D8" t="s">
        <v>14</v>
      </c>
      <c r="E8" t="s">
        <v>23</v>
      </c>
      <c r="F8" t="s">
        <v>24</v>
      </c>
      <c r="G8">
        <v>11</v>
      </c>
      <c r="H8" s="2">
        <v>34</v>
      </c>
      <c r="I8" s="3">
        <v>0</v>
      </c>
      <c r="J8" s="2">
        <f>ROUND(Sales[[#This Row],[Units]]*Sales[[#This Row],[Price]]*(1-Sales[[#This Row],[Discount]]),2)</f>
        <v>374</v>
      </c>
      <c r="K8" t="s">
        <v>17</v>
      </c>
      <c r="L8" s="1">
        <v>46049</v>
      </c>
    </row>
    <row r="9" spans="1:12" x14ac:dyDescent="0.2">
      <c r="A9" t="s">
        <v>38</v>
      </c>
      <c r="B9" s="1">
        <v>46049</v>
      </c>
      <c r="C9" t="s">
        <v>26</v>
      </c>
      <c r="D9" t="s">
        <v>39</v>
      </c>
      <c r="E9" t="s">
        <v>23</v>
      </c>
      <c r="F9" t="s">
        <v>24</v>
      </c>
      <c r="G9">
        <v>4</v>
      </c>
      <c r="H9" s="2">
        <v>34</v>
      </c>
      <c r="I9" s="3">
        <v>0.1</v>
      </c>
      <c r="J9" s="2">
        <f>ROUND(Sales[[#This Row],[Units]]*Sales[[#This Row],[Price]]*(1-Sales[[#This Row],[Discount]]),2)</f>
        <v>122.4</v>
      </c>
      <c r="K9" t="s">
        <v>17</v>
      </c>
      <c r="L9" s="1">
        <v>46054</v>
      </c>
    </row>
    <row r="10" spans="1:12" x14ac:dyDescent="0.2">
      <c r="A10" t="s">
        <v>40</v>
      </c>
      <c r="B10" s="1">
        <v>46053</v>
      </c>
      <c r="C10" t="s">
        <v>13</v>
      </c>
      <c r="D10" t="s">
        <v>31</v>
      </c>
      <c r="E10" t="s">
        <v>35</v>
      </c>
      <c r="F10" t="s">
        <v>36</v>
      </c>
      <c r="G10">
        <v>9</v>
      </c>
      <c r="H10" s="2">
        <v>14</v>
      </c>
      <c r="I10" s="3">
        <v>0</v>
      </c>
      <c r="J10" s="2">
        <f>ROUND(Sales[[#This Row],[Units]]*Sales[[#This Row],[Price]]*(1-Sales[[#This Row],[Discount]]),2)</f>
        <v>126</v>
      </c>
      <c r="K10" t="s">
        <v>17</v>
      </c>
      <c r="L10" s="1">
        <v>46055</v>
      </c>
    </row>
    <row r="11" spans="1:12" x14ac:dyDescent="0.2">
      <c r="A11" t="s">
        <v>41</v>
      </c>
      <c r="B11" s="1">
        <v>46057</v>
      </c>
      <c r="C11" t="s">
        <v>19</v>
      </c>
      <c r="D11" t="s">
        <v>20</v>
      </c>
      <c r="E11" t="s">
        <v>35</v>
      </c>
      <c r="F11" t="s">
        <v>36</v>
      </c>
      <c r="G11">
        <v>15</v>
      </c>
      <c r="H11" s="2">
        <v>14</v>
      </c>
      <c r="I11" s="3">
        <v>0</v>
      </c>
      <c r="J11" s="2">
        <f>ROUND(Sales[[#This Row],[Units]]*Sales[[#This Row],[Price]]*(1-Sales[[#This Row],[Discount]]),2)</f>
        <v>210</v>
      </c>
      <c r="K11" t="s">
        <v>17</v>
      </c>
      <c r="L11" s="1">
        <v>46060</v>
      </c>
    </row>
    <row r="12" spans="1:12" x14ac:dyDescent="0.2">
      <c r="A12" t="s">
        <v>42</v>
      </c>
      <c r="B12" s="1">
        <v>46061</v>
      </c>
      <c r="C12" t="s">
        <v>13</v>
      </c>
      <c r="D12" t="s">
        <v>14</v>
      </c>
      <c r="E12" t="s">
        <v>15</v>
      </c>
      <c r="F12" t="s">
        <v>16</v>
      </c>
      <c r="G12">
        <v>30</v>
      </c>
      <c r="H12" s="2">
        <v>9</v>
      </c>
      <c r="I12" s="3">
        <v>0.05</v>
      </c>
      <c r="J12" s="2">
        <f>ROUND(Sales[[#This Row],[Units]]*Sales[[#This Row],[Price]]*(1-Sales[[#This Row],[Discount]]),2)</f>
        <v>256.5</v>
      </c>
      <c r="K12" t="s">
        <v>17</v>
      </c>
      <c r="L12" s="1">
        <v>46065</v>
      </c>
    </row>
    <row r="13" spans="1:12" x14ac:dyDescent="0.2">
      <c r="A13" t="s">
        <v>43</v>
      </c>
      <c r="B13" s="1">
        <v>46064</v>
      </c>
      <c r="C13" t="s">
        <v>13</v>
      </c>
      <c r="D13" t="s">
        <v>14</v>
      </c>
      <c r="E13" t="s">
        <v>35</v>
      </c>
      <c r="F13" t="s">
        <v>36</v>
      </c>
      <c r="G13">
        <v>23</v>
      </c>
      <c r="H13" s="2">
        <v>14</v>
      </c>
      <c r="I13" s="3">
        <v>0.1</v>
      </c>
      <c r="J13" s="2">
        <f>ROUND(Sales[[#This Row],[Units]]*Sales[[#This Row],[Price]]*(1-Sales[[#This Row],[Discount]]),2)</f>
        <v>289.8</v>
      </c>
      <c r="K13" t="s">
        <v>17</v>
      </c>
      <c r="L13" s="1">
        <v>46066</v>
      </c>
    </row>
    <row r="14" spans="1:12" x14ac:dyDescent="0.2">
      <c r="A14" t="s">
        <v>44</v>
      </c>
      <c r="B14" s="1">
        <v>46068</v>
      </c>
      <c r="C14" t="s">
        <v>26</v>
      </c>
      <c r="D14" t="s">
        <v>27</v>
      </c>
      <c r="E14" t="s">
        <v>45</v>
      </c>
      <c r="F14" t="s">
        <v>46</v>
      </c>
      <c r="G14">
        <v>5</v>
      </c>
      <c r="H14" s="2">
        <v>79</v>
      </c>
      <c r="I14" s="3">
        <v>0.1</v>
      </c>
      <c r="J14" s="2">
        <f>ROUND(Sales[[#This Row],[Units]]*Sales[[#This Row],[Price]]*(1-Sales[[#This Row],[Discount]]),2)</f>
        <v>355.5</v>
      </c>
      <c r="K14" t="s">
        <v>17</v>
      </c>
      <c r="L14" s="1">
        <v>46071</v>
      </c>
    </row>
    <row r="15" spans="1:12" x14ac:dyDescent="0.2">
      <c r="A15" t="s">
        <v>47</v>
      </c>
      <c r="B15" s="1">
        <v>46072</v>
      </c>
      <c r="C15" t="s">
        <v>19</v>
      </c>
      <c r="D15" t="s">
        <v>48</v>
      </c>
      <c r="E15" t="s">
        <v>23</v>
      </c>
      <c r="F15" t="s">
        <v>24</v>
      </c>
      <c r="G15">
        <v>4</v>
      </c>
      <c r="H15" s="2">
        <v>34</v>
      </c>
      <c r="I15" s="3">
        <v>0</v>
      </c>
      <c r="J15" s="2">
        <f>ROUND(Sales[[#This Row],[Units]]*Sales[[#This Row],[Price]]*(1-Sales[[#This Row],[Discount]]),2)</f>
        <v>136</v>
      </c>
      <c r="K15" t="s">
        <v>17</v>
      </c>
      <c r="L15" s="1">
        <v>46078</v>
      </c>
    </row>
    <row r="16" spans="1:12" x14ac:dyDescent="0.2">
      <c r="A16" t="s">
        <v>49</v>
      </c>
      <c r="B16" s="1">
        <v>46075</v>
      </c>
      <c r="C16" t="s">
        <v>19</v>
      </c>
      <c r="D16" t="s">
        <v>20</v>
      </c>
      <c r="E16" t="s">
        <v>50</v>
      </c>
      <c r="F16" t="s">
        <v>51</v>
      </c>
      <c r="G16">
        <v>3</v>
      </c>
      <c r="H16" s="2">
        <v>189</v>
      </c>
      <c r="I16" s="3">
        <v>0</v>
      </c>
      <c r="J16" s="2">
        <f>ROUND(Sales[[#This Row],[Units]]*Sales[[#This Row],[Price]]*(1-Sales[[#This Row],[Discount]]),2)</f>
        <v>567</v>
      </c>
      <c r="K16" t="s">
        <v>17</v>
      </c>
      <c r="L16" s="1">
        <v>46082</v>
      </c>
    </row>
    <row r="17" spans="1:12" x14ac:dyDescent="0.2">
      <c r="A17" t="s">
        <v>52</v>
      </c>
      <c r="B17" s="1">
        <v>46079</v>
      </c>
      <c r="C17" t="s">
        <v>53</v>
      </c>
      <c r="D17" t="s">
        <v>54</v>
      </c>
      <c r="E17" t="s">
        <v>35</v>
      </c>
      <c r="F17" t="s">
        <v>36</v>
      </c>
      <c r="G17">
        <v>17</v>
      </c>
      <c r="H17" s="2">
        <v>14</v>
      </c>
      <c r="I17" s="3">
        <v>0</v>
      </c>
      <c r="J17" s="2">
        <f>ROUND(Sales[[#This Row],[Units]]*Sales[[#This Row],[Price]]*(1-Sales[[#This Row],[Discount]]),2)</f>
        <v>238</v>
      </c>
      <c r="K17" t="s">
        <v>17</v>
      </c>
      <c r="L17" s="1">
        <v>46080</v>
      </c>
    </row>
    <row r="18" spans="1:12" x14ac:dyDescent="0.2">
      <c r="A18" t="s">
        <v>55</v>
      </c>
      <c r="B18" s="1">
        <v>46083</v>
      </c>
      <c r="C18" t="s">
        <v>13</v>
      </c>
      <c r="D18" t="s">
        <v>14</v>
      </c>
      <c r="E18" t="s">
        <v>23</v>
      </c>
      <c r="F18" t="s">
        <v>24</v>
      </c>
      <c r="G18">
        <v>11</v>
      </c>
      <c r="H18" s="2">
        <v>34</v>
      </c>
      <c r="I18" s="3">
        <v>0</v>
      </c>
      <c r="J18" s="2">
        <f>ROUND(Sales[[#This Row],[Units]]*Sales[[#This Row],[Price]]*(1-Sales[[#This Row],[Discount]]),2)</f>
        <v>374</v>
      </c>
      <c r="K18" t="s">
        <v>17</v>
      </c>
      <c r="L18" s="1">
        <v>46090</v>
      </c>
    </row>
    <row r="19" spans="1:12" x14ac:dyDescent="0.2">
      <c r="A19" t="s">
        <v>56</v>
      </c>
      <c r="B19" s="1">
        <v>46086</v>
      </c>
      <c r="C19" t="s">
        <v>26</v>
      </c>
      <c r="D19" t="s">
        <v>27</v>
      </c>
      <c r="E19" t="s">
        <v>45</v>
      </c>
      <c r="F19" t="s">
        <v>46</v>
      </c>
      <c r="G19">
        <v>1</v>
      </c>
      <c r="H19" s="2">
        <v>79</v>
      </c>
      <c r="I19" s="3">
        <v>0.05</v>
      </c>
      <c r="J19" s="2">
        <f>ROUND(Sales[[#This Row],[Units]]*Sales[[#This Row],[Price]]*(1-Sales[[#This Row],[Discount]]),2)</f>
        <v>75.05</v>
      </c>
      <c r="K19" t="s">
        <v>17</v>
      </c>
      <c r="L19" s="1">
        <v>46090</v>
      </c>
    </row>
    <row r="20" spans="1:12" x14ac:dyDescent="0.2">
      <c r="A20" t="s">
        <v>57</v>
      </c>
      <c r="B20" s="1">
        <v>46090</v>
      </c>
      <c r="C20" t="s">
        <v>53</v>
      </c>
      <c r="D20" t="s">
        <v>58</v>
      </c>
      <c r="E20" t="s">
        <v>32</v>
      </c>
      <c r="F20" t="s">
        <v>33</v>
      </c>
      <c r="G20">
        <v>7</v>
      </c>
      <c r="H20" s="2">
        <v>49</v>
      </c>
      <c r="I20" s="3">
        <v>0</v>
      </c>
      <c r="J20" s="2">
        <f>ROUND(Sales[[#This Row],[Units]]*Sales[[#This Row],[Price]]*(1-Sales[[#This Row],[Discount]]),2)</f>
        <v>343</v>
      </c>
      <c r="K20" t="s">
        <v>17</v>
      </c>
      <c r="L20" s="1">
        <v>46091</v>
      </c>
    </row>
    <row r="21" spans="1:12" x14ac:dyDescent="0.2">
      <c r="A21" t="s">
        <v>59</v>
      </c>
      <c r="B21" s="1">
        <v>46094</v>
      </c>
      <c r="C21" t="s">
        <v>19</v>
      </c>
      <c r="D21" t="s">
        <v>20</v>
      </c>
      <c r="E21" t="s">
        <v>35</v>
      </c>
      <c r="F21" t="s">
        <v>36</v>
      </c>
      <c r="G21">
        <v>25</v>
      </c>
      <c r="H21" s="2">
        <v>14</v>
      </c>
      <c r="I21" s="3">
        <v>0</v>
      </c>
      <c r="J21" s="2">
        <f>ROUND(Sales[[#This Row],[Units]]*Sales[[#This Row],[Price]]*(1-Sales[[#This Row],[Discount]]),2)</f>
        <v>350</v>
      </c>
      <c r="K21" t="s">
        <v>21</v>
      </c>
      <c r="L21" s="1"/>
    </row>
    <row r="22" spans="1:12" x14ac:dyDescent="0.2">
      <c r="A22" t="s">
        <v>60</v>
      </c>
      <c r="B22" s="1">
        <v>46098</v>
      </c>
      <c r="C22" t="s">
        <v>53</v>
      </c>
      <c r="D22" t="s">
        <v>54</v>
      </c>
      <c r="E22" t="s">
        <v>15</v>
      </c>
      <c r="F22" t="s">
        <v>16</v>
      </c>
      <c r="G22">
        <v>24</v>
      </c>
      <c r="H22" s="2">
        <v>9</v>
      </c>
      <c r="I22" s="3">
        <v>0.15</v>
      </c>
      <c r="J22" s="2">
        <f>ROUND(Sales[[#This Row],[Units]]*Sales[[#This Row],[Price]]*(1-Sales[[#This Row],[Discount]]),2)</f>
        <v>183.6</v>
      </c>
      <c r="K22" t="s">
        <v>17</v>
      </c>
      <c r="L22" s="1">
        <v>46104</v>
      </c>
    </row>
    <row r="23" spans="1:12" x14ac:dyDescent="0.2">
      <c r="A23" t="s">
        <v>61</v>
      </c>
      <c r="B23" s="1">
        <v>46101</v>
      </c>
      <c r="C23" t="s">
        <v>26</v>
      </c>
      <c r="D23" t="s">
        <v>39</v>
      </c>
      <c r="E23" t="s">
        <v>35</v>
      </c>
      <c r="F23" t="s">
        <v>36</v>
      </c>
      <c r="G23">
        <v>12</v>
      </c>
      <c r="H23" s="2">
        <v>14</v>
      </c>
      <c r="I23" s="3">
        <v>0.1</v>
      </c>
      <c r="J23" s="2">
        <f>ROUND(Sales[[#This Row],[Units]]*Sales[[#This Row],[Price]]*(1-Sales[[#This Row],[Discount]]),2)</f>
        <v>151.19999999999999</v>
      </c>
      <c r="K23" t="s">
        <v>17</v>
      </c>
      <c r="L23" s="1">
        <v>46102</v>
      </c>
    </row>
    <row r="24" spans="1:12" x14ac:dyDescent="0.2">
      <c r="A24" t="s">
        <v>62</v>
      </c>
      <c r="B24" s="1">
        <v>46105</v>
      </c>
      <c r="C24" t="s">
        <v>26</v>
      </c>
      <c r="D24" t="s">
        <v>27</v>
      </c>
      <c r="E24" t="s">
        <v>32</v>
      </c>
      <c r="F24" t="s">
        <v>33</v>
      </c>
      <c r="G24">
        <v>7</v>
      </c>
      <c r="H24" s="2">
        <v>49</v>
      </c>
      <c r="I24" s="3">
        <v>0</v>
      </c>
      <c r="J24" s="2">
        <f>ROUND(Sales[[#This Row],[Units]]*Sales[[#This Row],[Price]]*(1-Sales[[#This Row],[Discount]]),2)</f>
        <v>343</v>
      </c>
      <c r="K24" t="s">
        <v>17</v>
      </c>
      <c r="L24" s="1">
        <v>46109</v>
      </c>
    </row>
    <row r="25" spans="1:12" x14ac:dyDescent="0.2">
      <c r="A25" t="s">
        <v>63</v>
      </c>
      <c r="B25" s="1">
        <v>46109</v>
      </c>
      <c r="C25" t="s">
        <v>19</v>
      </c>
      <c r="D25" t="s">
        <v>48</v>
      </c>
      <c r="E25" t="s">
        <v>50</v>
      </c>
      <c r="F25" t="s">
        <v>51</v>
      </c>
      <c r="G25">
        <v>3</v>
      </c>
      <c r="H25" s="2">
        <v>189</v>
      </c>
      <c r="I25" s="3">
        <v>0</v>
      </c>
      <c r="J25" s="2">
        <f>ROUND(Sales[[#This Row],[Units]]*Sales[[#This Row],[Price]]*(1-Sales[[#This Row],[Discount]]),2)</f>
        <v>567</v>
      </c>
      <c r="K25" t="s">
        <v>17</v>
      </c>
      <c r="L25" s="1">
        <v>46111</v>
      </c>
    </row>
    <row r="26" spans="1:12" x14ac:dyDescent="0.2">
      <c r="A26" t="s">
        <v>64</v>
      </c>
      <c r="B26" s="1">
        <v>46112</v>
      </c>
      <c r="C26" t="s">
        <v>53</v>
      </c>
      <c r="D26" t="s">
        <v>58</v>
      </c>
      <c r="E26" t="s">
        <v>50</v>
      </c>
      <c r="F26" t="s">
        <v>51</v>
      </c>
      <c r="G26">
        <v>2</v>
      </c>
      <c r="H26" s="2">
        <v>189</v>
      </c>
      <c r="I26" s="3">
        <v>0.15</v>
      </c>
      <c r="J26" s="2">
        <f>ROUND(Sales[[#This Row],[Units]]*Sales[[#This Row],[Price]]*(1-Sales[[#This Row],[Discount]]),2)</f>
        <v>321.3</v>
      </c>
      <c r="K26" t="s">
        <v>17</v>
      </c>
      <c r="L26" s="1">
        <v>46116</v>
      </c>
    </row>
    <row r="27" spans="1:12" x14ac:dyDescent="0.2">
      <c r="A27" t="s">
        <v>65</v>
      </c>
      <c r="B27" s="1">
        <v>46116</v>
      </c>
      <c r="C27" t="s">
        <v>26</v>
      </c>
      <c r="D27" t="s">
        <v>27</v>
      </c>
      <c r="E27" t="s">
        <v>28</v>
      </c>
      <c r="F27" t="s">
        <v>29</v>
      </c>
      <c r="G27">
        <v>2</v>
      </c>
      <c r="H27" s="2">
        <v>6.5</v>
      </c>
      <c r="I27" s="3">
        <v>0</v>
      </c>
      <c r="J27" s="2">
        <f>ROUND(Sales[[#This Row],[Units]]*Sales[[#This Row],[Price]]*(1-Sales[[#This Row],[Discount]]),2)</f>
        <v>13</v>
      </c>
      <c r="K27" t="s">
        <v>17</v>
      </c>
      <c r="L27" s="1">
        <v>46118</v>
      </c>
    </row>
    <row r="28" spans="1:12" x14ac:dyDescent="0.2">
      <c r="A28" t="s">
        <v>66</v>
      </c>
      <c r="B28" s="1">
        <v>46120</v>
      </c>
      <c r="C28" t="s">
        <v>53</v>
      </c>
      <c r="D28" t="s">
        <v>54</v>
      </c>
      <c r="E28" t="s">
        <v>67</v>
      </c>
      <c r="F28" t="s">
        <v>68</v>
      </c>
      <c r="G28">
        <v>51</v>
      </c>
      <c r="H28" s="2">
        <v>4.25</v>
      </c>
      <c r="I28" s="3">
        <v>0</v>
      </c>
      <c r="J28" s="2">
        <f>ROUND(Sales[[#This Row],[Units]]*Sales[[#This Row],[Price]]*(1-Sales[[#This Row],[Discount]]),2)</f>
        <v>216.75</v>
      </c>
      <c r="K28" t="s">
        <v>17</v>
      </c>
      <c r="L28" s="1">
        <v>46124</v>
      </c>
    </row>
    <row r="29" spans="1:12" x14ac:dyDescent="0.2">
      <c r="A29" t="s">
        <v>69</v>
      </c>
      <c r="B29" s="1">
        <v>46123</v>
      </c>
      <c r="C29" t="s">
        <v>13</v>
      </c>
      <c r="D29" t="s">
        <v>14</v>
      </c>
      <c r="E29" t="s">
        <v>50</v>
      </c>
      <c r="F29" t="s">
        <v>51</v>
      </c>
      <c r="G29">
        <v>3</v>
      </c>
      <c r="H29" s="2">
        <v>189</v>
      </c>
      <c r="I29" s="3">
        <v>0</v>
      </c>
      <c r="J29" s="2">
        <f>ROUND(Sales[[#This Row],[Units]]*Sales[[#This Row],[Price]]*(1-Sales[[#This Row],[Discount]]),2)</f>
        <v>567</v>
      </c>
      <c r="K29" t="s">
        <v>17</v>
      </c>
      <c r="L29" s="1">
        <v>46128</v>
      </c>
    </row>
    <row r="30" spans="1:12" x14ac:dyDescent="0.2">
      <c r="A30" t="s">
        <v>70</v>
      </c>
      <c r="B30" s="1">
        <v>46127</v>
      </c>
      <c r="C30" t="s">
        <v>13</v>
      </c>
      <c r="D30" t="s">
        <v>31</v>
      </c>
      <c r="E30" t="s">
        <v>15</v>
      </c>
      <c r="F30" t="s">
        <v>16</v>
      </c>
      <c r="G30">
        <v>36</v>
      </c>
      <c r="H30" s="2">
        <v>9</v>
      </c>
      <c r="I30" s="3">
        <v>0</v>
      </c>
      <c r="J30" s="2">
        <f>ROUND(Sales[[#This Row],[Units]]*Sales[[#This Row],[Price]]*(1-Sales[[#This Row],[Discount]]),2)</f>
        <v>324</v>
      </c>
      <c r="K30" t="s">
        <v>71</v>
      </c>
      <c r="L30" s="1"/>
    </row>
    <row r="31" spans="1:12" x14ac:dyDescent="0.2">
      <c r="A31" t="s">
        <v>72</v>
      </c>
      <c r="B31" s="1">
        <v>46131</v>
      </c>
      <c r="C31" t="s">
        <v>13</v>
      </c>
      <c r="D31" t="s">
        <v>31</v>
      </c>
      <c r="E31" t="s">
        <v>23</v>
      </c>
      <c r="F31" t="s">
        <v>24</v>
      </c>
      <c r="G31">
        <v>7</v>
      </c>
      <c r="H31" s="2">
        <v>34</v>
      </c>
      <c r="I31" s="3">
        <v>0</v>
      </c>
      <c r="J31" s="2">
        <f>ROUND(Sales[[#This Row],[Units]]*Sales[[#This Row],[Price]]*(1-Sales[[#This Row],[Discount]]),2)</f>
        <v>238</v>
      </c>
      <c r="K31" t="s">
        <v>17</v>
      </c>
      <c r="L31" s="1">
        <v>46138</v>
      </c>
    </row>
    <row r="32" spans="1:12" x14ac:dyDescent="0.2">
      <c r="A32" t="s">
        <v>73</v>
      </c>
      <c r="B32" s="1">
        <v>46135</v>
      </c>
      <c r="C32" t="s">
        <v>53</v>
      </c>
      <c r="D32" t="s">
        <v>58</v>
      </c>
      <c r="E32" t="s">
        <v>45</v>
      </c>
      <c r="F32" t="s">
        <v>46</v>
      </c>
      <c r="G32">
        <v>3</v>
      </c>
      <c r="H32" s="2">
        <v>79</v>
      </c>
      <c r="I32" s="3">
        <v>0.1</v>
      </c>
      <c r="J32" s="2">
        <f>ROUND(Sales[[#This Row],[Units]]*Sales[[#This Row],[Price]]*(1-Sales[[#This Row],[Discount]]),2)</f>
        <v>213.3</v>
      </c>
      <c r="K32" t="s">
        <v>17</v>
      </c>
      <c r="L32" s="1">
        <v>46140</v>
      </c>
    </row>
    <row r="33" spans="1:12" x14ac:dyDescent="0.2">
      <c r="A33" t="s">
        <v>74</v>
      </c>
      <c r="B33" s="1">
        <v>46138</v>
      </c>
      <c r="C33" t="s">
        <v>26</v>
      </c>
      <c r="D33" t="s">
        <v>39</v>
      </c>
      <c r="E33" t="s">
        <v>67</v>
      </c>
      <c r="F33" t="s">
        <v>68</v>
      </c>
      <c r="G33">
        <v>50</v>
      </c>
      <c r="H33" s="2">
        <v>4.25</v>
      </c>
      <c r="I33" s="3">
        <v>0</v>
      </c>
      <c r="J33" s="2">
        <f>ROUND(Sales[[#This Row],[Units]]*Sales[[#This Row],[Price]]*(1-Sales[[#This Row],[Discount]]),2)</f>
        <v>212.5</v>
      </c>
      <c r="K33" t="s">
        <v>17</v>
      </c>
      <c r="L33" s="1">
        <v>46139</v>
      </c>
    </row>
    <row r="34" spans="1:12" x14ac:dyDescent="0.2">
      <c r="A34" t="s">
        <v>75</v>
      </c>
      <c r="B34" s="1">
        <v>46142</v>
      </c>
      <c r="C34" t="s">
        <v>19</v>
      </c>
      <c r="D34" t="s">
        <v>48</v>
      </c>
      <c r="E34" t="s">
        <v>45</v>
      </c>
      <c r="F34" t="s">
        <v>46</v>
      </c>
      <c r="G34">
        <v>5</v>
      </c>
      <c r="H34" s="2">
        <v>79</v>
      </c>
      <c r="I34" s="3">
        <v>0.15</v>
      </c>
      <c r="J34" s="2">
        <f>ROUND(Sales[[#This Row],[Units]]*Sales[[#This Row],[Price]]*(1-Sales[[#This Row],[Discount]]),2)</f>
        <v>335.75</v>
      </c>
      <c r="K34" t="s">
        <v>17</v>
      </c>
      <c r="L34" s="1">
        <v>46149</v>
      </c>
    </row>
    <row r="35" spans="1:12" x14ac:dyDescent="0.2">
      <c r="A35" t="s">
        <v>76</v>
      </c>
      <c r="B35" s="1">
        <v>46146</v>
      </c>
      <c r="C35" t="s">
        <v>53</v>
      </c>
      <c r="D35" t="s">
        <v>58</v>
      </c>
      <c r="E35" t="s">
        <v>50</v>
      </c>
      <c r="F35" t="s">
        <v>51</v>
      </c>
      <c r="G35">
        <v>1</v>
      </c>
      <c r="H35" s="2">
        <v>189</v>
      </c>
      <c r="I35" s="3">
        <v>0</v>
      </c>
      <c r="J35" s="2">
        <f>ROUND(Sales[[#This Row],[Units]]*Sales[[#This Row],[Price]]*(1-Sales[[#This Row],[Discount]]),2)</f>
        <v>189</v>
      </c>
      <c r="K35" t="s">
        <v>17</v>
      </c>
      <c r="L35" s="1">
        <v>46149</v>
      </c>
    </row>
    <row r="36" spans="1:12" x14ac:dyDescent="0.2">
      <c r="A36" t="s">
        <v>77</v>
      </c>
      <c r="B36" s="1">
        <v>46149</v>
      </c>
      <c r="C36" t="s">
        <v>53</v>
      </c>
      <c r="D36" t="s">
        <v>58</v>
      </c>
      <c r="E36" t="s">
        <v>28</v>
      </c>
      <c r="F36" t="s">
        <v>29</v>
      </c>
      <c r="G36">
        <v>43</v>
      </c>
      <c r="H36" s="2">
        <v>6.5</v>
      </c>
      <c r="I36" s="3">
        <v>0.1</v>
      </c>
      <c r="J36" s="2">
        <f>ROUND(Sales[[#This Row],[Units]]*Sales[[#This Row],[Price]]*(1-Sales[[#This Row],[Discount]]),2)</f>
        <v>251.55</v>
      </c>
      <c r="K36" t="s">
        <v>17</v>
      </c>
      <c r="L36" s="1">
        <v>46153</v>
      </c>
    </row>
    <row r="37" spans="1:12" x14ac:dyDescent="0.2">
      <c r="A37" t="s">
        <v>78</v>
      </c>
      <c r="B37" s="1">
        <v>46153</v>
      </c>
      <c r="C37" t="s">
        <v>26</v>
      </c>
      <c r="D37" t="s">
        <v>39</v>
      </c>
      <c r="E37" t="s">
        <v>45</v>
      </c>
      <c r="F37" t="s">
        <v>46</v>
      </c>
      <c r="G37">
        <v>1</v>
      </c>
      <c r="H37" s="2">
        <v>79</v>
      </c>
      <c r="I37" s="3">
        <v>0.05</v>
      </c>
      <c r="J37" s="2">
        <f>ROUND(Sales[[#This Row],[Units]]*Sales[[#This Row],[Price]]*(1-Sales[[#This Row],[Discount]]),2)</f>
        <v>75.05</v>
      </c>
      <c r="K37" t="s">
        <v>17</v>
      </c>
      <c r="L37" s="1">
        <v>46158</v>
      </c>
    </row>
    <row r="38" spans="1:12" x14ac:dyDescent="0.2">
      <c r="A38" t="s">
        <v>79</v>
      </c>
      <c r="B38" s="1">
        <v>46157</v>
      </c>
      <c r="C38" t="s">
        <v>26</v>
      </c>
      <c r="D38" t="s">
        <v>27</v>
      </c>
      <c r="E38" t="s">
        <v>45</v>
      </c>
      <c r="F38" t="s">
        <v>46</v>
      </c>
      <c r="G38">
        <v>1</v>
      </c>
      <c r="H38" s="2">
        <v>79</v>
      </c>
      <c r="I38" s="3">
        <v>0</v>
      </c>
      <c r="J38" s="2">
        <f>ROUND(Sales[[#This Row],[Units]]*Sales[[#This Row],[Price]]*(1-Sales[[#This Row],[Discount]]),2)</f>
        <v>79</v>
      </c>
      <c r="K38" t="s">
        <v>17</v>
      </c>
      <c r="L38" s="1">
        <v>46164</v>
      </c>
    </row>
    <row r="39" spans="1:12" x14ac:dyDescent="0.2">
      <c r="A39" t="s">
        <v>80</v>
      </c>
      <c r="B39" s="1">
        <v>46160</v>
      </c>
      <c r="C39" t="s">
        <v>13</v>
      </c>
      <c r="D39" t="s">
        <v>14</v>
      </c>
      <c r="E39" t="s">
        <v>67</v>
      </c>
      <c r="F39" t="s">
        <v>68</v>
      </c>
      <c r="G39">
        <v>29</v>
      </c>
      <c r="H39" s="2">
        <v>4.25</v>
      </c>
      <c r="I39" s="3">
        <v>0</v>
      </c>
      <c r="J39" s="2">
        <f>ROUND(Sales[[#This Row],[Units]]*Sales[[#This Row],[Price]]*(1-Sales[[#This Row],[Discount]]),2)</f>
        <v>123.25</v>
      </c>
      <c r="K39" t="s">
        <v>17</v>
      </c>
      <c r="L39" s="1">
        <v>46161</v>
      </c>
    </row>
    <row r="40" spans="1:12" x14ac:dyDescent="0.2">
      <c r="A40" t="s">
        <v>81</v>
      </c>
      <c r="B40" s="1">
        <v>46164</v>
      </c>
      <c r="C40" t="s">
        <v>53</v>
      </c>
      <c r="D40" t="s">
        <v>54</v>
      </c>
      <c r="E40" t="s">
        <v>50</v>
      </c>
      <c r="F40" t="s">
        <v>51</v>
      </c>
      <c r="G40">
        <v>3</v>
      </c>
      <c r="H40" s="2">
        <v>189</v>
      </c>
      <c r="I40" s="3">
        <v>0</v>
      </c>
      <c r="J40" s="2">
        <f>ROUND(Sales[[#This Row],[Units]]*Sales[[#This Row],[Price]]*(1-Sales[[#This Row],[Discount]]),2)</f>
        <v>567</v>
      </c>
      <c r="K40" t="s">
        <v>17</v>
      </c>
      <c r="L40" s="1">
        <v>46165</v>
      </c>
    </row>
    <row r="41" spans="1:12" x14ac:dyDescent="0.2">
      <c r="A41" t="s">
        <v>82</v>
      </c>
      <c r="B41" s="1">
        <v>46168</v>
      </c>
      <c r="C41" t="s">
        <v>13</v>
      </c>
      <c r="D41" t="s">
        <v>14</v>
      </c>
      <c r="E41" t="s">
        <v>23</v>
      </c>
      <c r="F41" t="s">
        <v>24</v>
      </c>
      <c r="G41">
        <v>1</v>
      </c>
      <c r="H41" s="2">
        <v>34</v>
      </c>
      <c r="I41" s="3">
        <v>0</v>
      </c>
      <c r="J41" s="2">
        <f>ROUND(Sales[[#This Row],[Units]]*Sales[[#This Row],[Price]]*(1-Sales[[#This Row],[Discount]]),2)</f>
        <v>34</v>
      </c>
      <c r="K41" t="s">
        <v>17</v>
      </c>
      <c r="L41" s="1">
        <v>46173</v>
      </c>
    </row>
    <row r="42" spans="1:12" x14ac:dyDescent="0.2">
      <c r="A42" t="s">
        <v>83</v>
      </c>
      <c r="B42" s="1">
        <v>46172</v>
      </c>
      <c r="C42" t="s">
        <v>26</v>
      </c>
      <c r="D42" t="s">
        <v>27</v>
      </c>
      <c r="E42" t="s">
        <v>15</v>
      </c>
      <c r="F42" t="s">
        <v>16</v>
      </c>
      <c r="G42">
        <v>6</v>
      </c>
      <c r="H42" s="2">
        <v>9</v>
      </c>
      <c r="I42" s="3">
        <v>0.1</v>
      </c>
      <c r="J42" s="2">
        <f>ROUND(Sales[[#This Row],[Units]]*Sales[[#This Row],[Price]]*(1-Sales[[#This Row],[Discount]]),2)</f>
        <v>48.6</v>
      </c>
      <c r="K42" t="s">
        <v>17</v>
      </c>
      <c r="L42" s="1">
        <v>46176</v>
      </c>
    </row>
    <row r="43" spans="1:12" x14ac:dyDescent="0.2">
      <c r="A43" t="s">
        <v>84</v>
      </c>
      <c r="B43" s="1">
        <v>46175</v>
      </c>
      <c r="C43" t="s">
        <v>13</v>
      </c>
      <c r="D43" t="s">
        <v>31</v>
      </c>
      <c r="E43" t="s">
        <v>15</v>
      </c>
      <c r="F43" t="s">
        <v>16</v>
      </c>
      <c r="G43">
        <v>23</v>
      </c>
      <c r="H43" s="2">
        <v>9</v>
      </c>
      <c r="I43" s="3">
        <v>0.05</v>
      </c>
      <c r="J43" s="2">
        <f>ROUND(Sales[[#This Row],[Units]]*Sales[[#This Row],[Price]]*(1-Sales[[#This Row],[Discount]]),2)</f>
        <v>196.65</v>
      </c>
      <c r="K43" t="s">
        <v>71</v>
      </c>
      <c r="L43" s="1"/>
    </row>
    <row r="44" spans="1:12" x14ac:dyDescent="0.2">
      <c r="A44" t="s">
        <v>85</v>
      </c>
      <c r="B44" s="1">
        <v>46179</v>
      </c>
      <c r="C44" t="s">
        <v>53</v>
      </c>
      <c r="D44" t="s">
        <v>58</v>
      </c>
      <c r="E44" t="s">
        <v>23</v>
      </c>
      <c r="F44" t="s">
        <v>24</v>
      </c>
      <c r="G44">
        <v>10</v>
      </c>
      <c r="H44" s="2">
        <v>34</v>
      </c>
      <c r="I44" s="3">
        <v>0.05</v>
      </c>
      <c r="J44" s="2">
        <f>ROUND(Sales[[#This Row],[Units]]*Sales[[#This Row],[Price]]*(1-Sales[[#This Row],[Discount]]),2)</f>
        <v>323</v>
      </c>
      <c r="K44" t="s">
        <v>17</v>
      </c>
      <c r="L44" s="1">
        <v>46183</v>
      </c>
    </row>
    <row r="45" spans="1:12" x14ac:dyDescent="0.2">
      <c r="A45" t="s">
        <v>86</v>
      </c>
      <c r="B45" s="1">
        <v>46183</v>
      </c>
      <c r="C45" t="s">
        <v>26</v>
      </c>
      <c r="D45" t="s">
        <v>39</v>
      </c>
      <c r="E45" t="s">
        <v>67</v>
      </c>
      <c r="F45" t="s">
        <v>68</v>
      </c>
      <c r="G45">
        <v>55</v>
      </c>
      <c r="H45" s="2">
        <v>4.25</v>
      </c>
      <c r="I45" s="3">
        <v>0</v>
      </c>
      <c r="J45" s="2">
        <f>ROUND(Sales[[#This Row],[Units]]*Sales[[#This Row],[Price]]*(1-Sales[[#This Row],[Discount]]),2)</f>
        <v>233.75</v>
      </c>
      <c r="K45" t="s">
        <v>21</v>
      </c>
      <c r="L45" s="1"/>
    </row>
    <row r="46" spans="1:12" x14ac:dyDescent="0.2">
      <c r="A46" t="s">
        <v>87</v>
      </c>
      <c r="B46" s="1">
        <v>46186</v>
      </c>
      <c r="C46" t="s">
        <v>19</v>
      </c>
      <c r="D46" t="s">
        <v>20</v>
      </c>
      <c r="E46" t="s">
        <v>45</v>
      </c>
      <c r="F46" t="s">
        <v>46</v>
      </c>
      <c r="G46">
        <v>5</v>
      </c>
      <c r="H46" s="2">
        <v>79</v>
      </c>
      <c r="I46" s="3">
        <v>0</v>
      </c>
      <c r="J46" s="2">
        <f>ROUND(Sales[[#This Row],[Units]]*Sales[[#This Row],[Price]]*(1-Sales[[#This Row],[Discount]]),2)</f>
        <v>395</v>
      </c>
      <c r="K46" t="s">
        <v>71</v>
      </c>
      <c r="L46" s="1"/>
    </row>
    <row r="47" spans="1:12" x14ac:dyDescent="0.2">
      <c r="A47" t="s">
        <v>88</v>
      </c>
      <c r="B47" s="1">
        <v>46190</v>
      </c>
      <c r="C47" t="s">
        <v>13</v>
      </c>
      <c r="D47" t="s">
        <v>14</v>
      </c>
      <c r="E47" t="s">
        <v>32</v>
      </c>
      <c r="F47" t="s">
        <v>33</v>
      </c>
      <c r="G47">
        <v>2</v>
      </c>
      <c r="H47" s="2">
        <v>49</v>
      </c>
      <c r="I47" s="3">
        <v>0.05</v>
      </c>
      <c r="J47" s="2">
        <f>ROUND(Sales[[#This Row],[Units]]*Sales[[#This Row],[Price]]*(1-Sales[[#This Row],[Discount]]),2)</f>
        <v>93.1</v>
      </c>
      <c r="K47" t="s">
        <v>17</v>
      </c>
      <c r="L47" s="1">
        <v>46196</v>
      </c>
    </row>
    <row r="48" spans="1:12" x14ac:dyDescent="0.2">
      <c r="A48" t="s">
        <v>89</v>
      </c>
      <c r="B48" s="1">
        <v>46194</v>
      </c>
      <c r="C48" t="s">
        <v>53</v>
      </c>
      <c r="D48" t="s">
        <v>54</v>
      </c>
      <c r="E48" t="s">
        <v>45</v>
      </c>
      <c r="F48" t="s">
        <v>46</v>
      </c>
      <c r="G48">
        <v>1</v>
      </c>
      <c r="H48" s="2">
        <v>79</v>
      </c>
      <c r="I48" s="3">
        <v>0</v>
      </c>
      <c r="J48" s="2">
        <f>ROUND(Sales[[#This Row],[Units]]*Sales[[#This Row],[Price]]*(1-Sales[[#This Row],[Discount]]),2)</f>
        <v>79</v>
      </c>
      <c r="K48" t="s">
        <v>17</v>
      </c>
      <c r="L48" s="1">
        <v>46197</v>
      </c>
    </row>
    <row r="49" spans="1:12" x14ac:dyDescent="0.2">
      <c r="A49" t="s">
        <v>90</v>
      </c>
      <c r="B49" s="1">
        <v>46197</v>
      </c>
      <c r="C49" t="s">
        <v>13</v>
      </c>
      <c r="D49" t="s">
        <v>31</v>
      </c>
      <c r="E49" t="s">
        <v>23</v>
      </c>
      <c r="F49" t="s">
        <v>24</v>
      </c>
      <c r="G49">
        <v>7</v>
      </c>
      <c r="H49" s="2">
        <v>34</v>
      </c>
      <c r="I49" s="3">
        <v>0</v>
      </c>
      <c r="J49" s="2">
        <f>ROUND(Sales[[#This Row],[Units]]*Sales[[#This Row],[Price]]*(1-Sales[[#This Row],[Discount]]),2)</f>
        <v>238</v>
      </c>
      <c r="K49" t="s">
        <v>17</v>
      </c>
      <c r="L49" s="1">
        <v>46199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22CC-18CF-4437-BB5B-ECDA06DA4181}">
  <dimension ref="A1:E9"/>
  <sheetViews>
    <sheetView workbookViewId="0"/>
  </sheetViews>
  <sheetFormatPr defaultRowHeight="12.75" x14ac:dyDescent="0.2"/>
  <cols>
    <col min="1" max="1" width="7" bestFit="1" customWidth="1"/>
    <col min="2" max="2" width="14.140625" bestFit="1" customWidth="1"/>
    <col min="3" max="3" width="12" bestFit="1" customWidth="1"/>
    <col min="4" max="4" width="8.28515625" bestFit="1" customWidth="1"/>
    <col min="5" max="5" width="7.28515625" bestFit="1" customWidth="1"/>
  </cols>
  <sheetData>
    <row r="1" spans="1:5" x14ac:dyDescent="0.2">
      <c r="A1" t="s">
        <v>4</v>
      </c>
      <c r="B1" t="s">
        <v>5</v>
      </c>
      <c r="C1" t="s">
        <v>91</v>
      </c>
      <c r="D1" t="s">
        <v>7</v>
      </c>
      <c r="E1" t="s">
        <v>92</v>
      </c>
    </row>
    <row r="2" spans="1:5" x14ac:dyDescent="0.2">
      <c r="A2" t="s">
        <v>23</v>
      </c>
      <c r="B2" t="s">
        <v>24</v>
      </c>
      <c r="C2" t="s">
        <v>93</v>
      </c>
      <c r="D2" s="2">
        <v>34</v>
      </c>
      <c r="E2" s="2">
        <v>15.5</v>
      </c>
    </row>
    <row r="3" spans="1:5" x14ac:dyDescent="0.2">
      <c r="A3" t="s">
        <v>28</v>
      </c>
      <c r="B3" t="s">
        <v>29</v>
      </c>
      <c r="C3" t="s">
        <v>94</v>
      </c>
      <c r="D3" s="2">
        <v>6.5</v>
      </c>
      <c r="E3" s="2">
        <v>2.1</v>
      </c>
    </row>
    <row r="4" spans="1:5" x14ac:dyDescent="0.2">
      <c r="A4" t="s">
        <v>15</v>
      </c>
      <c r="B4" t="s">
        <v>16</v>
      </c>
      <c r="C4" t="s">
        <v>95</v>
      </c>
      <c r="D4" s="2">
        <v>9</v>
      </c>
      <c r="E4" s="2">
        <v>3.4</v>
      </c>
    </row>
    <row r="5" spans="1:5" x14ac:dyDescent="0.2">
      <c r="A5" t="s">
        <v>32</v>
      </c>
      <c r="B5" t="s">
        <v>33</v>
      </c>
      <c r="C5" t="s">
        <v>96</v>
      </c>
      <c r="D5" s="2">
        <v>49</v>
      </c>
      <c r="E5" s="2">
        <v>27</v>
      </c>
    </row>
    <row r="6" spans="1:5" x14ac:dyDescent="0.2">
      <c r="A6" t="s">
        <v>50</v>
      </c>
      <c r="B6" t="s">
        <v>51</v>
      </c>
      <c r="C6" t="s">
        <v>96</v>
      </c>
      <c r="D6" s="2">
        <v>189</v>
      </c>
      <c r="E6" s="2">
        <v>112</v>
      </c>
    </row>
    <row r="7" spans="1:5" x14ac:dyDescent="0.2">
      <c r="A7" t="s">
        <v>35</v>
      </c>
      <c r="B7" t="s">
        <v>36</v>
      </c>
      <c r="C7" t="s">
        <v>97</v>
      </c>
      <c r="D7" s="2">
        <v>14</v>
      </c>
      <c r="E7" s="2">
        <v>5.2</v>
      </c>
    </row>
    <row r="8" spans="1:5" x14ac:dyDescent="0.2">
      <c r="A8" t="s">
        <v>67</v>
      </c>
      <c r="B8" t="s">
        <v>68</v>
      </c>
      <c r="C8" t="s">
        <v>94</v>
      </c>
      <c r="D8" s="2">
        <v>4.25</v>
      </c>
      <c r="E8" s="2">
        <v>1.3</v>
      </c>
    </row>
    <row r="9" spans="1:5" x14ac:dyDescent="0.2">
      <c r="A9" t="s">
        <v>45</v>
      </c>
      <c r="B9" t="s">
        <v>46</v>
      </c>
      <c r="C9" t="s">
        <v>96</v>
      </c>
      <c r="D9" s="2">
        <v>79</v>
      </c>
      <c r="E9" s="2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EC6F-4BF6-44D5-BB4D-8C9644A51E8E}">
  <dimension ref="A1:E9"/>
  <sheetViews>
    <sheetView workbookViewId="0"/>
  </sheetViews>
  <sheetFormatPr defaultRowHeight="12.75" x14ac:dyDescent="0.2"/>
  <cols>
    <col min="1" max="1" width="6.28515625" bestFit="1" customWidth="1"/>
    <col min="2" max="2" width="16.140625" bestFit="1" customWidth="1"/>
    <col min="3" max="3" width="33.85546875" bestFit="1" customWidth="1"/>
    <col min="4" max="4" width="9.28515625" bestFit="1" customWidth="1"/>
    <col min="5" max="5" width="12.28515625" bestFit="1" customWidth="1"/>
  </cols>
  <sheetData>
    <row r="1" spans="1:5" x14ac:dyDescent="0.2">
      <c r="A1" t="s">
        <v>3</v>
      </c>
      <c r="B1" t="s">
        <v>98</v>
      </c>
      <c r="C1" t="s">
        <v>99</v>
      </c>
      <c r="D1" t="s">
        <v>2</v>
      </c>
      <c r="E1" t="s">
        <v>100</v>
      </c>
    </row>
    <row r="2" spans="1:5" x14ac:dyDescent="0.2">
      <c r="A2" t="s">
        <v>39</v>
      </c>
      <c r="B2" t="s">
        <v>101</v>
      </c>
      <c r="C2" t="s">
        <v>102</v>
      </c>
      <c r="D2" t="s">
        <v>26</v>
      </c>
      <c r="E2" s="1">
        <v>43535</v>
      </c>
    </row>
    <row r="3" spans="1:5" x14ac:dyDescent="0.2">
      <c r="A3" t="s">
        <v>27</v>
      </c>
      <c r="B3" t="s">
        <v>103</v>
      </c>
      <c r="C3" t="s">
        <v>104</v>
      </c>
      <c r="D3" t="s">
        <v>26</v>
      </c>
      <c r="E3" s="1">
        <v>44410</v>
      </c>
    </row>
    <row r="4" spans="1:5" x14ac:dyDescent="0.2">
      <c r="A4" t="s">
        <v>54</v>
      </c>
      <c r="B4" t="s">
        <v>105</v>
      </c>
      <c r="C4" t="s">
        <v>106</v>
      </c>
      <c r="D4" t="s">
        <v>53</v>
      </c>
      <c r="E4" s="1">
        <v>43115</v>
      </c>
    </row>
    <row r="5" spans="1:5" x14ac:dyDescent="0.2">
      <c r="A5" t="s">
        <v>58</v>
      </c>
      <c r="B5" t="s">
        <v>107</v>
      </c>
      <c r="C5" t="s">
        <v>108</v>
      </c>
      <c r="D5" t="s">
        <v>53</v>
      </c>
      <c r="E5" s="1">
        <v>45068</v>
      </c>
    </row>
    <row r="6" spans="1:5" x14ac:dyDescent="0.2">
      <c r="A6" t="s">
        <v>14</v>
      </c>
      <c r="B6" t="s">
        <v>109</v>
      </c>
      <c r="C6" t="s">
        <v>110</v>
      </c>
      <c r="D6" t="s">
        <v>13</v>
      </c>
      <c r="E6" s="1">
        <v>44109</v>
      </c>
    </row>
    <row r="7" spans="1:5" x14ac:dyDescent="0.2">
      <c r="A7" t="s">
        <v>31</v>
      </c>
      <c r="B7" t="s">
        <v>111</v>
      </c>
      <c r="C7" t="s">
        <v>112</v>
      </c>
      <c r="D7" t="s">
        <v>13</v>
      </c>
      <c r="E7" s="1">
        <v>44606</v>
      </c>
    </row>
    <row r="8" spans="1:5" x14ac:dyDescent="0.2">
      <c r="A8" t="s">
        <v>20</v>
      </c>
      <c r="B8" t="s">
        <v>113</v>
      </c>
      <c r="C8" t="s">
        <v>114</v>
      </c>
      <c r="D8" t="s">
        <v>19</v>
      </c>
      <c r="E8" s="1">
        <v>42916</v>
      </c>
    </row>
    <row r="9" spans="1:5" x14ac:dyDescent="0.2">
      <c r="A9" t="s">
        <v>48</v>
      </c>
      <c r="B9" t="s">
        <v>115</v>
      </c>
      <c r="C9" t="s">
        <v>116</v>
      </c>
      <c r="D9" t="s">
        <v>19</v>
      </c>
      <c r="E9" s="1">
        <v>45544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1FBF-7E1B-410A-95E9-5B4CA20EA2F4}">
  <dimension ref="A1:F7"/>
  <sheetViews>
    <sheetView workbookViewId="0"/>
  </sheetViews>
  <sheetFormatPr defaultRowHeight="12.75" x14ac:dyDescent="0.2"/>
  <cols>
    <col min="1" max="1" width="7.28515625" bestFit="1" customWidth="1"/>
    <col min="2" max="2" width="16.140625" bestFit="1" customWidth="1"/>
    <col min="3" max="3" width="18.28515625" bestFit="1" customWidth="1"/>
    <col min="4" max="4" width="12" bestFit="1" customWidth="1"/>
    <col min="5" max="5" width="16.140625" bestFit="1" customWidth="1"/>
    <col min="6" max="6" width="9.28515625" bestFit="1" customWidth="1"/>
  </cols>
  <sheetData>
    <row r="1" spans="1:6" x14ac:dyDescent="0.2">
      <c r="A1" t="s">
        <v>117</v>
      </c>
      <c r="B1" t="s">
        <v>98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</row>
    <row r="3" spans="1:6" x14ac:dyDescent="0.2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</row>
    <row r="4" spans="1:6" x14ac:dyDescent="0.2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127</v>
      </c>
    </row>
    <row r="5" spans="1:6" x14ac:dyDescent="0.2">
      <c r="A5" t="s">
        <v>139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</row>
    <row r="6" spans="1:6" x14ac:dyDescent="0.2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127</v>
      </c>
    </row>
    <row r="7" spans="1:6" x14ac:dyDescent="0.2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C052-A8B4-4683-9528-89A31D919185}">
  <dimension ref="A1:C9"/>
  <sheetViews>
    <sheetView workbookViewId="0"/>
  </sheetViews>
  <sheetFormatPr defaultRowHeight="12.75" x14ac:dyDescent="0.2"/>
  <cols>
    <col min="1" max="1" width="9.28515625" bestFit="1" customWidth="1"/>
    <col min="2" max="2" width="10.28515625" bestFit="1" customWidth="1"/>
    <col min="3" max="3" width="9.28515625" bestFit="1" customWidth="1"/>
  </cols>
  <sheetData>
    <row r="1" spans="1:3" x14ac:dyDescent="0.2">
      <c r="A1" t="s">
        <v>2</v>
      </c>
      <c r="B1" t="s">
        <v>155</v>
      </c>
      <c r="C1" t="s">
        <v>156</v>
      </c>
    </row>
    <row r="2" spans="1:3" x14ac:dyDescent="0.2">
      <c r="A2" t="s">
        <v>26</v>
      </c>
      <c r="B2" t="s">
        <v>157</v>
      </c>
      <c r="C2" s="4">
        <v>1500</v>
      </c>
    </row>
    <row r="3" spans="1:3" x14ac:dyDescent="0.2">
      <c r="A3" t="s">
        <v>53</v>
      </c>
      <c r="B3" t="s">
        <v>157</v>
      </c>
      <c r="C3" s="4">
        <v>1200</v>
      </c>
    </row>
    <row r="4" spans="1:3" x14ac:dyDescent="0.2">
      <c r="A4" t="s">
        <v>13</v>
      </c>
      <c r="B4" t="s">
        <v>157</v>
      </c>
      <c r="C4" s="4">
        <v>1800</v>
      </c>
    </row>
    <row r="5" spans="1:3" x14ac:dyDescent="0.2">
      <c r="A5" t="s">
        <v>19</v>
      </c>
      <c r="B5" t="s">
        <v>157</v>
      </c>
      <c r="C5" s="4">
        <v>1500</v>
      </c>
    </row>
    <row r="6" spans="1:3" x14ac:dyDescent="0.2">
      <c r="A6" t="s">
        <v>26</v>
      </c>
      <c r="B6" t="s">
        <v>158</v>
      </c>
      <c r="C6" s="4">
        <v>1200</v>
      </c>
    </row>
    <row r="7" spans="1:3" x14ac:dyDescent="0.2">
      <c r="A7" t="s">
        <v>53</v>
      </c>
      <c r="B7" t="s">
        <v>158</v>
      </c>
      <c r="C7" s="4">
        <v>1500</v>
      </c>
    </row>
    <row r="8" spans="1:3" x14ac:dyDescent="0.2">
      <c r="A8" t="s">
        <v>13</v>
      </c>
      <c r="B8" t="s">
        <v>158</v>
      </c>
      <c r="C8" s="4">
        <v>1200</v>
      </c>
    </row>
    <row r="9" spans="1:3" x14ac:dyDescent="0.2">
      <c r="A9" t="s">
        <v>19</v>
      </c>
      <c r="B9" t="s">
        <v>158</v>
      </c>
      <c r="C9" s="4">
        <v>1000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DE0F-5237-45DD-A417-7C6261D22A87}">
  <dimension ref="A1:B5"/>
  <sheetViews>
    <sheetView workbookViewId="0"/>
  </sheetViews>
  <sheetFormatPr defaultRowHeight="12.75" x14ac:dyDescent="0.2"/>
  <cols>
    <col min="1" max="1" width="12.28515625" bestFit="1" customWidth="1"/>
    <col min="2" max="2" width="7.28515625" bestFit="1" customWidth="1"/>
  </cols>
  <sheetData>
    <row r="1" spans="1:2" x14ac:dyDescent="0.2">
      <c r="A1" t="s">
        <v>159</v>
      </c>
      <c r="B1" t="s">
        <v>160</v>
      </c>
    </row>
    <row r="2" spans="1:2" x14ac:dyDescent="0.2">
      <c r="A2" s="4">
        <v>0</v>
      </c>
      <c r="B2" s="3">
        <v>0.02</v>
      </c>
    </row>
    <row r="3" spans="1:2" x14ac:dyDescent="0.2">
      <c r="A3" s="4">
        <v>2000</v>
      </c>
      <c r="B3" s="3">
        <v>0.04</v>
      </c>
    </row>
    <row r="4" spans="1:2" x14ac:dyDescent="0.2">
      <c r="A4" s="4">
        <v>5000</v>
      </c>
      <c r="B4" s="3">
        <v>0.06</v>
      </c>
    </row>
    <row r="5" spans="1:2" x14ac:dyDescent="0.2">
      <c r="A5" s="4">
        <v>8000</v>
      </c>
      <c r="B5" s="3">
        <v>0.08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9D79-017E-4896-883F-1599B5F9A4C7}">
  <dimension ref="A1:B5"/>
  <sheetViews>
    <sheetView workbookViewId="0"/>
  </sheetViews>
  <sheetFormatPr defaultRowHeight="12.75" x14ac:dyDescent="0.2"/>
  <cols>
    <col min="1" max="1" width="14.140625" bestFit="1" customWidth="1"/>
    <col min="2" max="2" width="11" bestFit="1" customWidth="1"/>
  </cols>
  <sheetData>
    <row r="1" spans="1:2" x14ac:dyDescent="0.2">
      <c r="A1" s="5" t="s">
        <v>161</v>
      </c>
      <c r="B1" s="5" t="s">
        <v>162</v>
      </c>
    </row>
    <row r="2" spans="1:2" x14ac:dyDescent="0.2">
      <c r="A2" t="s">
        <v>163</v>
      </c>
      <c r="B2" s="6">
        <v>8.2500000000000004E-2</v>
      </c>
    </row>
    <row r="3" spans="1:2" x14ac:dyDescent="0.2">
      <c r="A3" t="s">
        <v>164</v>
      </c>
      <c r="B3" s="1">
        <v>46023</v>
      </c>
    </row>
    <row r="4" spans="1:2" x14ac:dyDescent="0.2">
      <c r="A4" t="s">
        <v>165</v>
      </c>
      <c r="B4" s="1">
        <v>46203</v>
      </c>
    </row>
    <row r="5" spans="1:2" x14ac:dyDescent="0.2">
      <c r="A5" t="s">
        <v>166</v>
      </c>
      <c r="B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5502-21E5-46A8-9247-B016B62A7AFF}">
  <dimension ref="A1:M263"/>
  <sheetViews>
    <sheetView workbookViewId="0"/>
  </sheetViews>
  <sheetFormatPr defaultRowHeight="12.75" x14ac:dyDescent="0.2"/>
  <cols>
    <col min="2" max="2" width="40.7109375" customWidth="1"/>
  </cols>
  <sheetData>
    <row r="1" spans="1:2" x14ac:dyDescent="0.2">
      <c r="A1" t="s">
        <v>169</v>
      </c>
      <c r="B1">
        <f>COUNTA(Sales[Order ID])</f>
        <v>48</v>
      </c>
    </row>
    <row r="3" spans="1:2" x14ac:dyDescent="0.2">
      <c r="A3" t="s">
        <v>173</v>
      </c>
      <c r="B3">
        <f>SUM(Sales[Units])</f>
        <v>682</v>
      </c>
    </row>
    <row r="5" spans="1:2" x14ac:dyDescent="0.2">
      <c r="A5" t="s">
        <v>176</v>
      </c>
      <c r="B5">
        <f>DATE(2026, 6, 30) - DATE(2026, 1, 1)</f>
        <v>180</v>
      </c>
    </row>
    <row r="7" spans="1:2" x14ac:dyDescent="0.2">
      <c r="A7" t="s">
        <v>179</v>
      </c>
      <c r="B7" t="b">
        <f>ISNUMBER("682")</f>
        <v>0</v>
      </c>
    </row>
    <row r="9" spans="1:2" x14ac:dyDescent="0.2">
      <c r="A9" t="s">
        <v>183</v>
      </c>
      <c r="B9">
        <f>Settings!B5</f>
        <v>100</v>
      </c>
    </row>
    <row r="11" spans="1:2" x14ac:dyDescent="0.2">
      <c r="A11" t="s">
        <v>185</v>
      </c>
      <c r="B11">
        <f>SUM(Sales[Revenue]) * TaxRate</f>
        <v>972.1635</v>
      </c>
    </row>
    <row r="13" spans="1:2" x14ac:dyDescent="0.2">
      <c r="A13" t="s">
        <v>187</v>
      </c>
      <c r="B13">
        <f>ROWS(Products[])</f>
        <v>8</v>
      </c>
    </row>
    <row r="15" spans="1:2" x14ac:dyDescent="0.2">
      <c r="A15" t="s">
        <v>189</v>
      </c>
      <c r="B15">
        <f>AVERAGE(Products[Cost])</f>
        <v>25.9375</v>
      </c>
    </row>
    <row r="17" spans="1:2" x14ac:dyDescent="0.2">
      <c r="A17" t="s">
        <v>192</v>
      </c>
      <c r="B17" cm="1">
        <f t="array" ref="B17">SUM(Sales[Units] * Sales[Price])</f>
        <v>12199.25</v>
      </c>
    </row>
    <row r="19" spans="1:2" x14ac:dyDescent="0.2">
      <c r="A19" t="s">
        <v>194</v>
      </c>
      <c r="B19" t="str">
        <f>"Total units: " &amp; SUM(Sales[Units])</f>
        <v>Total units: 682</v>
      </c>
    </row>
    <row r="21" spans="1:2" x14ac:dyDescent="0.2">
      <c r="A21" t="s">
        <v>196</v>
      </c>
      <c r="B21">
        <f>ROUND(SUM(Sales[Revenue]) * (1 + TaxRate), 2)</f>
        <v>12755.96</v>
      </c>
    </row>
    <row r="23" spans="1:2" x14ac:dyDescent="0.2">
      <c r="A23" t="s">
        <v>198</v>
      </c>
      <c r="B23" cm="1">
        <f t="array" ref="B23">SUM(Sales[Units] * Sales[Price]) - SUM(Sales[Revenue])</f>
        <v>415.45000000000073</v>
      </c>
    </row>
    <row r="25" spans="1:2" x14ac:dyDescent="0.2">
      <c r="A25" t="s">
        <v>201</v>
      </c>
      <c r="B25">
        <f>MAX(Sales[Revenue])</f>
        <v>567</v>
      </c>
    </row>
    <row r="27" spans="1:2" x14ac:dyDescent="0.2">
      <c r="A27" t="s">
        <v>203</v>
      </c>
      <c r="B27">
        <f>ROUND(AVERAGE(Sales[Units]), 1)</f>
        <v>14.2</v>
      </c>
    </row>
    <row r="29" spans="1:2" x14ac:dyDescent="0.2">
      <c r="A29" t="s">
        <v>205</v>
      </c>
      <c r="B29">
        <f>COUNTBLANK(Sales[Ship Date])</f>
        <v>7</v>
      </c>
    </row>
    <row r="31" spans="1:2" x14ac:dyDescent="0.2">
      <c r="A31" t="s">
        <v>207</v>
      </c>
      <c r="B31" t="str">
        <f>TEXT(MAX(Sales[Date]), "d mmm yyyy")</f>
        <v>24 Jun 2026</v>
      </c>
    </row>
    <row r="33" spans="1:2" x14ac:dyDescent="0.2">
      <c r="A33" t="s">
        <v>209</v>
      </c>
      <c r="B33">
        <f>MEDIAN(Sales[Revenue])</f>
        <v>228.875</v>
      </c>
    </row>
    <row r="35" spans="1:2" x14ac:dyDescent="0.2">
      <c r="A35" t="s">
        <v>213</v>
      </c>
      <c r="B35" t="str">
        <f>IF(SUM(Sales[Revenue]) &gt;= 12000, "Target met", "Short by " &amp; TEXT(12000 - SUM(Sales[Revenue]), "#,##0.00"))</f>
        <v>Short by 216.20</v>
      </c>
    </row>
    <row r="37" spans="1:2" x14ac:dyDescent="0.2">
      <c r="A37" t="s">
        <v>215</v>
      </c>
      <c r="B37" cm="1">
        <f t="array" ref="B37">SUM((Sales[Region] = "East") * (Sales[Status] = "Closed"))</f>
        <v>12</v>
      </c>
    </row>
    <row r="39" spans="1:2" x14ac:dyDescent="0.2">
      <c r="A39" t="s">
        <v>217</v>
      </c>
      <c r="B39" t="str" cm="1">
        <f t="array" ref="B39">_xlfn.IFS(AVERAGE(Sales[Discount]) = 0, "None", AVERAGE(Sales[Discount]) &lt; 0.05, "Light", TRUE, "Heavy")</f>
        <v>Light</v>
      </c>
    </row>
    <row r="41" spans="1:2" x14ac:dyDescent="0.2">
      <c r="A41" t="s">
        <v>219</v>
      </c>
      <c r="B41" cm="1">
        <f t="array" ref="B41">SUM(--(Sales[Units] &gt;= 20))</f>
        <v>13</v>
      </c>
    </row>
    <row r="43" spans="1:2" x14ac:dyDescent="0.2">
      <c r="A43" t="s">
        <v>221</v>
      </c>
      <c r="B43" cm="1">
        <f t="array" ref="B43">SUM(IF(Sales[Status] &lt;&gt; "Cancelled", Sales[Revenue], 0))</f>
        <v>10868.150000000001</v>
      </c>
    </row>
    <row r="45" spans="1:2" x14ac:dyDescent="0.2">
      <c r="A45" t="s">
        <v>224</v>
      </c>
      <c r="B45">
        <f>SUMIFS(Sales[Revenue], Sales[Region], "East", Sales[Status], "Closed")</f>
        <v>2927.85</v>
      </c>
    </row>
    <row r="47" spans="1:2" x14ac:dyDescent="0.2">
      <c r="A47" t="s">
        <v>226</v>
      </c>
      <c r="B47">
        <f>COUNTIFS(Sales[Date], "&gt;=" &amp; DATE(2026, 1, 1), Sales[Date], "&lt;" &amp; DATE(2026, 4, 1))</f>
        <v>25</v>
      </c>
    </row>
    <row r="49" spans="1:2" x14ac:dyDescent="0.2">
      <c r="A49" t="s">
        <v>228</v>
      </c>
      <c r="B49">
        <f>AVERAGEIFS(Sales[Revenue], Sales[Discount], "&gt;0")</f>
        <v>201.05526315789476</v>
      </c>
    </row>
    <row r="51" spans="1:2" x14ac:dyDescent="0.2">
      <c r="A51" t="s">
        <v>230</v>
      </c>
      <c r="B51">
        <f>_xlfn.MINIFS(Sales[Units], Sales[Rep], "Hiro")</f>
        <v>3</v>
      </c>
    </row>
    <row r="53" spans="1:2" x14ac:dyDescent="0.2">
      <c r="A53" t="s">
        <v>232</v>
      </c>
      <c r="B53" cm="1">
        <f t="array" ref="B53">SUM(SUMIFS(Sales[Revenue], Sales[Product], {"Monitor Stand","Desk Chair","Whiteboard"}))</f>
        <v>5410.05</v>
      </c>
    </row>
    <row r="55" spans="1:2" x14ac:dyDescent="0.2">
      <c r="A55" t="s">
        <v>234</v>
      </c>
      <c r="B55">
        <f>COUNTIFS(Sales[Status], "&lt;&gt;Cancelled")</f>
        <v>45</v>
      </c>
    </row>
    <row r="57" spans="1:2" x14ac:dyDescent="0.2">
      <c r="A57" t="s">
        <v>238</v>
      </c>
      <c r="B57" t="str" cm="1">
        <f t="array" ref="B57:B62">PROPER(TRIM(Leads[Name]))</f>
        <v>Maria Garcia</v>
      </c>
    </row>
    <row r="58" spans="1:2" x14ac:dyDescent="0.2">
      <c r="B58" t="str">
        <v>James O'Neil</v>
      </c>
    </row>
    <row r="59" spans="1:2" x14ac:dyDescent="0.2">
      <c r="B59" t="str">
        <v>Priya Sharma</v>
      </c>
    </row>
    <row r="60" spans="1:2" x14ac:dyDescent="0.2">
      <c r="B60" t="str">
        <v>Li Wei</v>
      </c>
    </row>
    <row r="61" spans="1:2" x14ac:dyDescent="0.2">
      <c r="B61" t="str">
        <v>Sofia Rossi</v>
      </c>
    </row>
    <row r="62" spans="1:2" x14ac:dyDescent="0.2">
      <c r="B62" t="str">
        <v>Noah Johnson</v>
      </c>
    </row>
    <row r="64" spans="1:2" x14ac:dyDescent="0.2">
      <c r="A64" t="s">
        <v>240</v>
      </c>
      <c r="B64" t="str" cm="1">
        <f t="array" ref="B64:B69">_xlfn.TEXTAFTER(Leads[Location], ", ")</f>
        <v>TX</v>
      </c>
    </row>
    <row r="65" spans="1:2" x14ac:dyDescent="0.2">
      <c r="B65" t="str">
        <v>CO</v>
      </c>
    </row>
    <row r="66" spans="1:2" x14ac:dyDescent="0.2">
      <c r="B66" t="str">
        <v>WA</v>
      </c>
    </row>
    <row r="67" spans="1:2" x14ac:dyDescent="0.2">
      <c r="B67" t="str">
        <v>MA</v>
      </c>
    </row>
    <row r="68" spans="1:2" x14ac:dyDescent="0.2">
      <c r="B68" t="str">
        <v>IL</v>
      </c>
    </row>
    <row r="69" spans="1:2" x14ac:dyDescent="0.2">
      <c r="B69" t="str">
        <v>FL</v>
      </c>
    </row>
    <row r="71" spans="1:2" x14ac:dyDescent="0.2">
      <c r="A71" t="s">
        <v>242</v>
      </c>
      <c r="B71" t="str" cm="1">
        <f t="array" ref="B71:B78">_xlfn.TEXTAFTER(Staff[Name], " ", -1)</f>
        <v>Thompson</v>
      </c>
    </row>
    <row r="72" spans="1:2" x14ac:dyDescent="0.2">
      <c r="B72" t="str">
        <v>Okafor</v>
      </c>
    </row>
    <row r="73" spans="1:2" x14ac:dyDescent="0.2">
      <c r="B73" t="str">
        <v>Martin</v>
      </c>
    </row>
    <row r="74" spans="1:2" x14ac:dyDescent="0.2">
      <c r="B74" t="str">
        <v>Rao</v>
      </c>
    </row>
    <row r="75" spans="1:2" x14ac:dyDescent="0.2">
      <c r="B75" t="str">
        <v>Petrova</v>
      </c>
    </row>
    <row r="76" spans="1:2" x14ac:dyDescent="0.2">
      <c r="B76" t="str">
        <v>Haddad</v>
      </c>
    </row>
    <row r="77" spans="1:2" x14ac:dyDescent="0.2">
      <c r="B77" t="str">
        <v>Lee</v>
      </c>
    </row>
    <row r="78" spans="1:2" x14ac:dyDescent="0.2">
      <c r="B78" t="str">
        <v>Tanaka</v>
      </c>
    </row>
    <row r="80" spans="1:2" x14ac:dyDescent="0.2">
      <c r="A80" t="s">
        <v>244</v>
      </c>
      <c r="B80" t="str">
        <f>_xlfn.TEXTJOIN(", ", TRUE, Staff[Rep])</f>
        <v>Ava, Ben, Chloe, Dev, Elena, Farid, Grace, Hiro</v>
      </c>
    </row>
    <row r="82" spans="1:2" x14ac:dyDescent="0.2">
      <c r="A82" t="s">
        <v>246</v>
      </c>
      <c r="B82">
        <f>VALUE(_xlfn.TEXTAFTER("SO-1048", "-"))</f>
        <v>1048</v>
      </c>
    </row>
    <row r="84" spans="1:2" x14ac:dyDescent="0.2">
      <c r="A84" t="s">
        <v>249</v>
      </c>
      <c r="B84">
        <f>COUNTIFS(Sales[Date], "&gt;=" &amp; DATE(2026, 3, 1), Sales[Date], "&lt;" &amp; DATE(2026, 4, 1))</f>
        <v>9</v>
      </c>
    </row>
    <row r="86" spans="1:2" x14ac:dyDescent="0.2">
      <c r="A86" t="s">
        <v>251</v>
      </c>
      <c r="B86" t="str">
        <f>TEXT(EOMONTH(MIN(Sales[Date]), 0), "yyyy-mm-dd")</f>
        <v>2026-01-31</v>
      </c>
    </row>
    <row r="88" spans="1:2" x14ac:dyDescent="0.2">
      <c r="A88" t="s">
        <v>253</v>
      </c>
      <c r="B88" cm="1">
        <f t="array" ref="B88">MAX(IF(Sales[Ship Date] &lt;&gt; "", Sales[Ship Date] - Sales[Date]))</f>
        <v>7</v>
      </c>
    </row>
    <row r="90" spans="1:2" x14ac:dyDescent="0.2">
      <c r="A90" t="s">
        <v>255</v>
      </c>
      <c r="B90">
        <f>NETWORKDAYS(DATE(2026, 4, 1), DATE(2026, 6, 30))</f>
        <v>65</v>
      </c>
    </row>
    <row r="92" spans="1:2" x14ac:dyDescent="0.2">
      <c r="A92" t="s">
        <v>257</v>
      </c>
      <c r="B92">
        <f>YEAR(MIN(Staff[Hire Date]))</f>
        <v>2017</v>
      </c>
    </row>
    <row r="94" spans="1:2" x14ac:dyDescent="0.2">
      <c r="A94" t="s">
        <v>260</v>
      </c>
      <c r="B94">
        <f>_xlfn.XLOOKUP("BS-108", Products[SKU], Products[Cost])</f>
        <v>41</v>
      </c>
    </row>
    <row r="96" spans="1:2" x14ac:dyDescent="0.2">
      <c r="A96" t="s">
        <v>262</v>
      </c>
      <c r="B96" t="str">
        <f>_xlfn.XLOOKUP("BS-200", Products[SKU], Products[Product], "Not found")</f>
        <v>Not found</v>
      </c>
    </row>
    <row r="98" spans="1:2" x14ac:dyDescent="0.2">
      <c r="A98" t="s">
        <v>264</v>
      </c>
      <c r="B98">
        <f>_xlfn.XLOOKUP(8450, Tiers[Min Sales], Tiers[Rate], , -1)</f>
        <v>0.08</v>
      </c>
    </row>
    <row r="100" spans="1:2" x14ac:dyDescent="0.2">
      <c r="A100" t="s">
        <v>266</v>
      </c>
      <c r="B100" t="str">
        <f>TEXT(_xlfn.XLOOKUP("Grace", Sales[Rep], Sales[Date], , 0, -1), "d mmm yyyy")</f>
        <v>13 Jun 2026</v>
      </c>
    </row>
    <row r="102" spans="1:2" x14ac:dyDescent="0.2">
      <c r="A102" t="s">
        <v>268</v>
      </c>
      <c r="B102" t="str" cm="1">
        <f t="array" ref="B102">_xlfn.XLOOKUP(1, (Sales[Product] = "Desk Chair") * (Sales[Region] = "North"), Sales[Order ID], "None")</f>
        <v>None</v>
      </c>
    </row>
    <row r="104" spans="1:2" x14ac:dyDescent="0.2">
      <c r="A104" t="s">
        <v>270</v>
      </c>
      <c r="B104" cm="1">
        <f t="array" ref="B104">SUM((_xlfn.XLOOKUP(Sales[SKU], Products[SKU], Products[Category]) = "Paper") * Sales[Revenue])</f>
        <v>1408.3</v>
      </c>
    </row>
    <row r="106" spans="1:2" x14ac:dyDescent="0.2">
      <c r="A106" t="s">
        <v>273</v>
      </c>
      <c r="B106" cm="1">
        <f t="array" ref="B106:B115">_xlfn.SEQUENCE(10, 1, 5, 5)</f>
        <v>5</v>
      </c>
    </row>
    <row r="107" spans="1:2" x14ac:dyDescent="0.2">
      <c r="B107">
        <v>10</v>
      </c>
    </row>
    <row r="108" spans="1:2" x14ac:dyDescent="0.2">
      <c r="B108">
        <v>15</v>
      </c>
    </row>
    <row r="109" spans="1:2" x14ac:dyDescent="0.2">
      <c r="B109">
        <v>20</v>
      </c>
    </row>
    <row r="110" spans="1:2" x14ac:dyDescent="0.2">
      <c r="B110">
        <v>25</v>
      </c>
    </row>
    <row r="111" spans="1:2" x14ac:dyDescent="0.2">
      <c r="B111">
        <v>30</v>
      </c>
    </row>
    <row r="112" spans="1:2" x14ac:dyDescent="0.2">
      <c r="B112">
        <v>35</v>
      </c>
    </row>
    <row r="113" spans="1:3" x14ac:dyDescent="0.2">
      <c r="B113">
        <v>40</v>
      </c>
    </row>
    <row r="114" spans="1:3" x14ac:dyDescent="0.2">
      <c r="B114">
        <v>45</v>
      </c>
    </row>
    <row r="115" spans="1:3" x14ac:dyDescent="0.2">
      <c r="B115">
        <v>50</v>
      </c>
    </row>
    <row r="117" spans="1:3" x14ac:dyDescent="0.2">
      <c r="A117" t="s">
        <v>275</v>
      </c>
      <c r="B117" cm="1">
        <f t="array" ref="B117:B124">ROUND((Products[Price] - Products[Cost]) / Products[Price], 3)</f>
        <v>0.54400000000000004</v>
      </c>
    </row>
    <row r="118" spans="1:3" x14ac:dyDescent="0.2">
      <c r="B118">
        <v>0.67700000000000005</v>
      </c>
    </row>
    <row r="119" spans="1:3" x14ac:dyDescent="0.2">
      <c r="B119">
        <v>0.622</v>
      </c>
    </row>
    <row r="120" spans="1:3" x14ac:dyDescent="0.2">
      <c r="B120">
        <v>0.44900000000000001</v>
      </c>
    </row>
    <row r="121" spans="1:3" x14ac:dyDescent="0.2">
      <c r="B121">
        <v>0.40699999999999997</v>
      </c>
    </row>
    <row r="122" spans="1:3" x14ac:dyDescent="0.2">
      <c r="B122">
        <v>0.629</v>
      </c>
    </row>
    <row r="123" spans="1:3" x14ac:dyDescent="0.2">
      <c r="B123">
        <v>0.69399999999999995</v>
      </c>
    </row>
    <row r="124" spans="1:3" x14ac:dyDescent="0.2">
      <c r="B124">
        <v>0.48099999999999998</v>
      </c>
    </row>
    <row r="126" spans="1:3" x14ac:dyDescent="0.2">
      <c r="A126" t="s">
        <v>277</v>
      </c>
      <c r="B126" cm="1">
        <f t="array" ref="B126:C129">COUNTIFS(Sales[Region], {"North";"South";"East";"West"}, Sales[Status], {"Closed","Open"})</f>
        <v>12</v>
      </c>
      <c r="C126">
        <v>1</v>
      </c>
    </row>
    <row r="127" spans="1:3" x14ac:dyDescent="0.2">
      <c r="B127">
        <v>11</v>
      </c>
      <c r="C127">
        <v>0</v>
      </c>
    </row>
    <row r="128" spans="1:3" x14ac:dyDescent="0.2">
      <c r="B128">
        <v>12</v>
      </c>
      <c r="C128">
        <v>1</v>
      </c>
    </row>
    <row r="129" spans="1:13" x14ac:dyDescent="0.2">
      <c r="B129">
        <v>6</v>
      </c>
      <c r="C129">
        <v>2</v>
      </c>
    </row>
    <row r="131" spans="1:13" x14ac:dyDescent="0.2">
      <c r="A131" t="s">
        <v>279</v>
      </c>
      <c r="B131" t="str" cm="1">
        <f t="array" ref="B131:M131">TEXT(DATE(2026, _xlfn.SEQUENCE(1, 12), 1), "mmmm")</f>
        <v>January</v>
      </c>
      <c r="C131" t="str">
        <v>February</v>
      </c>
      <c r="D131" t="str">
        <v>March</v>
      </c>
      <c r="E131" t="str">
        <v>April</v>
      </c>
      <c r="F131" t="str">
        <v>May</v>
      </c>
      <c r="G131" t="str">
        <v>June</v>
      </c>
      <c r="H131" t="str">
        <v>July</v>
      </c>
      <c r="I131" t="str">
        <v>August</v>
      </c>
      <c r="J131" t="str">
        <v>September</v>
      </c>
      <c r="K131" t="str">
        <v>October</v>
      </c>
      <c r="L131" t="str">
        <v>November</v>
      </c>
      <c r="M131" t="str">
        <v>December</v>
      </c>
    </row>
    <row r="133" spans="1:13" x14ac:dyDescent="0.2">
      <c r="A133" t="s">
        <v>281</v>
      </c>
      <c r="B133" cm="1">
        <f t="array" ref="B133:B134">SUMIFS(Sales[Revenue], Sales[Date], "&gt;=" &amp; DATE(2026, {1;4}, 1), Sales[Date], "&lt;" &amp; DATE(2026, {4;7}, 1))</f>
        <v>6737.5500000000011</v>
      </c>
    </row>
    <row r="134" spans="1:13" x14ac:dyDescent="0.2">
      <c r="B134">
        <v>5046.2500000000009</v>
      </c>
    </row>
    <row r="136" spans="1:13" x14ac:dyDescent="0.2">
      <c r="A136" t="s">
        <v>284</v>
      </c>
      <c r="B136" t="str" cm="1">
        <f t="array" ref="B136:B141">_xlfn._xlws.FILTER(Sales[Order ID], Sales[Product] = "Desk Chair")</f>
        <v>SO-1015</v>
      </c>
    </row>
    <row r="137" spans="1:13" x14ac:dyDescent="0.2">
      <c r="B137" t="str">
        <v>SO-1024</v>
      </c>
    </row>
    <row r="138" spans="1:13" x14ac:dyDescent="0.2">
      <c r="B138" t="str">
        <v>SO-1025</v>
      </c>
    </row>
    <row r="139" spans="1:13" x14ac:dyDescent="0.2">
      <c r="B139" t="str">
        <v>SO-1028</v>
      </c>
    </row>
    <row r="140" spans="1:13" x14ac:dyDescent="0.2">
      <c r="B140" t="str">
        <v>SO-1034</v>
      </c>
    </row>
    <row r="141" spans="1:13" x14ac:dyDescent="0.2">
      <c r="B141" t="str">
        <v>SO-1039</v>
      </c>
    </row>
    <row r="143" spans="1:13" x14ac:dyDescent="0.2">
      <c r="A143" t="s">
        <v>286</v>
      </c>
      <c r="B143" t="str" cm="1">
        <f t="array" ref="B143:B146">_xlfn._xlws.FILTER(Sales[Order ID], (Sales[Region] = "North") * (Sales[Status] = "Closed") * (Sales[Units] &gt;= 10))</f>
        <v>SO-1004</v>
      </c>
    </row>
    <row r="144" spans="1:13" x14ac:dyDescent="0.2">
      <c r="B144" t="str">
        <v>SO-1006</v>
      </c>
    </row>
    <row r="145" spans="1:2" x14ac:dyDescent="0.2">
      <c r="B145" t="str">
        <v>SO-1022</v>
      </c>
    </row>
    <row r="146" spans="1:2" x14ac:dyDescent="0.2">
      <c r="B146" t="str">
        <v>SO-1032</v>
      </c>
    </row>
    <row r="148" spans="1:2" x14ac:dyDescent="0.2">
      <c r="A148" t="s">
        <v>288</v>
      </c>
      <c r="B148" t="str" cm="1">
        <f t="array" ref="B148:B154">_xlfn._xlws.SORT(_xlfn.UNIQUE(_xlfn._xlws.FILTER(Sales[Product], Sales[Discount] &gt; 0)))</f>
        <v>Cable Kit</v>
      </c>
    </row>
    <row r="149" spans="1:2" x14ac:dyDescent="0.2">
      <c r="B149" t="str">
        <v>Desk Chair</v>
      </c>
    </row>
    <row r="150" spans="1:2" x14ac:dyDescent="0.2">
      <c r="B150" t="str">
        <v>Desk Lamp</v>
      </c>
    </row>
    <row r="151" spans="1:2" x14ac:dyDescent="0.2">
      <c r="B151" t="str">
        <v>Gel Pen Set</v>
      </c>
    </row>
    <row r="152" spans="1:2" x14ac:dyDescent="0.2">
      <c r="B152" t="str">
        <v>Monitor Stand</v>
      </c>
    </row>
    <row r="153" spans="1:2" x14ac:dyDescent="0.2">
      <c r="B153" t="str">
        <v>Notebook</v>
      </c>
    </row>
    <row r="154" spans="1:2" x14ac:dyDescent="0.2">
      <c r="B154" t="str">
        <v>Whiteboard</v>
      </c>
    </row>
    <row r="156" spans="1:2" x14ac:dyDescent="0.2">
      <c r="A156" t="s">
        <v>290</v>
      </c>
      <c r="B156" cm="1">
        <f t="array" ref="B156">ROWS(_xlfn.UNIQUE(_xlfn._xlws.FILTER(Sales[Rep], Sales[Product] = "Notebook")))</f>
        <v>2</v>
      </c>
    </row>
    <row r="158" spans="1:2" x14ac:dyDescent="0.2">
      <c r="A158" t="s">
        <v>292</v>
      </c>
      <c r="B158" t="str" cm="1">
        <f t="array" ref="B158:B165">_xlfn.SORTBY(Products[Product], Products[Cost])</f>
        <v>Sticky Notes</v>
      </c>
    </row>
    <row r="159" spans="1:2" x14ac:dyDescent="0.2">
      <c r="B159" t="str">
        <v>Notebook</v>
      </c>
    </row>
    <row r="160" spans="1:2" x14ac:dyDescent="0.2">
      <c r="B160" t="str">
        <v>Gel Pen Set</v>
      </c>
    </row>
    <row r="161" spans="1:3" x14ac:dyDescent="0.2">
      <c r="B161" t="str">
        <v>Cable Kit</v>
      </c>
    </row>
    <row r="162" spans="1:3" x14ac:dyDescent="0.2">
      <c r="B162" t="str">
        <v>Desk Lamp</v>
      </c>
    </row>
    <row r="163" spans="1:3" x14ac:dyDescent="0.2">
      <c r="B163" t="str">
        <v>Monitor Stand</v>
      </c>
    </row>
    <row r="164" spans="1:3" x14ac:dyDescent="0.2">
      <c r="B164" t="str">
        <v>Whiteboard</v>
      </c>
    </row>
    <row r="165" spans="1:3" x14ac:dyDescent="0.2">
      <c r="B165" t="str">
        <v>Desk Chair</v>
      </c>
    </row>
    <row r="167" spans="1:3" x14ac:dyDescent="0.2">
      <c r="A167" t="s">
        <v>294</v>
      </c>
      <c r="B167" t="str" cm="1">
        <f t="array" ref="B167:C171">_xlfn.TAKE(_xlfn.SORTBY(_xlfn.HSTACK(Sales[Order ID], Sales[Revenue]), Sales[Revenue], -1), 5)</f>
        <v>SO-1015</v>
      </c>
      <c r="C167">
        <v>567</v>
      </c>
    </row>
    <row r="168" spans="1:3" x14ac:dyDescent="0.2">
      <c r="B168" t="str">
        <v>SO-1024</v>
      </c>
      <c r="C168">
        <v>567</v>
      </c>
    </row>
    <row r="169" spans="1:3" x14ac:dyDescent="0.2">
      <c r="B169" t="str">
        <v>SO-1028</v>
      </c>
      <c r="C169">
        <v>567</v>
      </c>
    </row>
    <row r="170" spans="1:3" x14ac:dyDescent="0.2">
      <c r="B170" t="str">
        <v>SO-1039</v>
      </c>
      <c r="C170">
        <v>567</v>
      </c>
    </row>
    <row r="171" spans="1:3" x14ac:dyDescent="0.2">
      <c r="B171" t="str">
        <v>SO-1045</v>
      </c>
      <c r="C171">
        <v>395</v>
      </c>
    </row>
    <row r="173" spans="1:3" x14ac:dyDescent="0.2">
      <c r="A173" t="s">
        <v>297</v>
      </c>
      <c r="B173" t="str" cm="1">
        <f t="array" ref="B173:C180">_xlfn.CHOOSECOLS(Products[], 2, 3)</f>
        <v>Desk Lamp</v>
      </c>
      <c r="C173" t="str">
        <v>Lighting</v>
      </c>
    </row>
    <row r="174" spans="1:3" x14ac:dyDescent="0.2">
      <c r="B174" t="str">
        <v>Notebook</v>
      </c>
      <c r="C174" t="str">
        <v>Paper</v>
      </c>
    </row>
    <row r="175" spans="1:3" x14ac:dyDescent="0.2">
      <c r="B175" t="str">
        <v>Gel Pen Set</v>
      </c>
      <c r="C175" t="str">
        <v>Writing</v>
      </c>
    </row>
    <row r="176" spans="1:3" x14ac:dyDescent="0.2">
      <c r="B176" t="str">
        <v>Monitor Stand</v>
      </c>
      <c r="C176" t="str">
        <v>Furniture</v>
      </c>
    </row>
    <row r="177" spans="1:3" x14ac:dyDescent="0.2">
      <c r="B177" t="str">
        <v>Desk Chair</v>
      </c>
      <c r="C177" t="str">
        <v>Furniture</v>
      </c>
    </row>
    <row r="178" spans="1:3" x14ac:dyDescent="0.2">
      <c r="B178" t="str">
        <v>Cable Kit</v>
      </c>
      <c r="C178" t="str">
        <v>Accessories</v>
      </c>
    </row>
    <row r="179" spans="1:3" x14ac:dyDescent="0.2">
      <c r="B179" t="str">
        <v>Sticky Notes</v>
      </c>
      <c r="C179" t="str">
        <v>Paper</v>
      </c>
    </row>
    <row r="180" spans="1:3" x14ac:dyDescent="0.2">
      <c r="B180" t="str">
        <v>Whiteboard</v>
      </c>
      <c r="C180" t="str">
        <v>Furniture</v>
      </c>
    </row>
    <row r="182" spans="1:3" x14ac:dyDescent="0.2">
      <c r="A182" t="s">
        <v>299</v>
      </c>
      <c r="B182" t="str" cm="1">
        <f t="array" ref="B182:B186">_xlfn.TAKE(Sales[Order ID], -5)</f>
        <v>SO-1044</v>
      </c>
    </row>
    <row r="183" spans="1:3" x14ac:dyDescent="0.2">
      <c r="B183" t="str">
        <v>SO-1045</v>
      </c>
    </row>
    <row r="184" spans="1:3" x14ac:dyDescent="0.2">
      <c r="B184" t="str">
        <v>SO-1046</v>
      </c>
    </row>
    <row r="185" spans="1:3" x14ac:dyDescent="0.2">
      <c r="B185" t="str">
        <v>SO-1047</v>
      </c>
    </row>
    <row r="186" spans="1:3" x14ac:dyDescent="0.2">
      <c r="B186" t="str">
        <v>SO-1048</v>
      </c>
    </row>
    <row r="188" spans="1:3" x14ac:dyDescent="0.2">
      <c r="A188" t="s">
        <v>301</v>
      </c>
      <c r="B188" t="str" cm="1">
        <f t="array" ref="B188:C196">_xlfn.VSTACK({"Rep","Hired"}, _xlfn.HSTACK(Staff[Rep], YEAR(Staff[Hire Date])))</f>
        <v>Rep</v>
      </c>
      <c r="C188" t="str">
        <v>Hired</v>
      </c>
    </row>
    <row r="189" spans="1:3" x14ac:dyDescent="0.2">
      <c r="B189" t="str">
        <v>Ava</v>
      </c>
      <c r="C189">
        <v>2019</v>
      </c>
    </row>
    <row r="190" spans="1:3" x14ac:dyDescent="0.2">
      <c r="B190" t="str">
        <v>Ben</v>
      </c>
      <c r="C190">
        <v>2021</v>
      </c>
    </row>
    <row r="191" spans="1:3" x14ac:dyDescent="0.2">
      <c r="B191" t="str">
        <v>Chloe</v>
      </c>
      <c r="C191">
        <v>2018</v>
      </c>
    </row>
    <row r="192" spans="1:3" x14ac:dyDescent="0.2">
      <c r="B192" t="str">
        <v>Dev</v>
      </c>
      <c r="C192">
        <v>2023</v>
      </c>
    </row>
    <row r="193" spans="1:5" x14ac:dyDescent="0.2">
      <c r="B193" t="str">
        <v>Elena</v>
      </c>
      <c r="C193">
        <v>2020</v>
      </c>
    </row>
    <row r="194" spans="1:5" x14ac:dyDescent="0.2">
      <c r="B194" t="str">
        <v>Farid</v>
      </c>
      <c r="C194">
        <v>2022</v>
      </c>
    </row>
    <row r="195" spans="1:5" x14ac:dyDescent="0.2">
      <c r="B195" t="str">
        <v>Grace</v>
      </c>
      <c r="C195">
        <v>2017</v>
      </c>
    </row>
    <row r="196" spans="1:5" x14ac:dyDescent="0.2">
      <c r="B196" t="str">
        <v>Hiro</v>
      </c>
      <c r="C196">
        <v>2024</v>
      </c>
    </row>
    <row r="198" spans="1:5" x14ac:dyDescent="0.2">
      <c r="A198" t="s">
        <v>303</v>
      </c>
      <c r="B198" t="str" cm="1">
        <f t="array" ref="B198:E199">_xlfn.WRAPROWS(Products[SKU], 4)</f>
        <v>BS-101</v>
      </c>
      <c r="C198" t="str">
        <v>BS-102</v>
      </c>
      <c r="D198" t="str">
        <v>BS-103</v>
      </c>
      <c r="E198" t="str">
        <v>BS-104</v>
      </c>
    </row>
    <row r="199" spans="1:5" x14ac:dyDescent="0.2">
      <c r="B199" t="str">
        <v>BS-105</v>
      </c>
      <c r="C199" t="str">
        <v>BS-106</v>
      </c>
      <c r="D199" t="str">
        <v>BS-107</v>
      </c>
      <c r="E199" t="str">
        <v>BS-108</v>
      </c>
    </row>
    <row r="201" spans="1:5" x14ac:dyDescent="0.2">
      <c r="A201" t="s">
        <v>305</v>
      </c>
      <c r="B201" t="str" cm="1">
        <f t="array" ref="B201:C204">_xlfn.HSTACK({"North";"South";"East";"West"}, COUNTIFS(Sales[Region], {"North";"South";"East";"West"}))</f>
        <v>North</v>
      </c>
      <c r="C201">
        <v>13</v>
      </c>
    </row>
    <row r="202" spans="1:5" x14ac:dyDescent="0.2">
      <c r="B202" t="str">
        <v>South</v>
      </c>
      <c r="C202">
        <v>11</v>
      </c>
    </row>
    <row r="203" spans="1:5" x14ac:dyDescent="0.2">
      <c r="B203" t="str">
        <v>East</v>
      </c>
      <c r="C203">
        <v>15</v>
      </c>
    </row>
    <row r="204" spans="1:5" x14ac:dyDescent="0.2">
      <c r="B204" t="str">
        <v>West</v>
      </c>
      <c r="C204">
        <v>9</v>
      </c>
    </row>
    <row r="206" spans="1:5" x14ac:dyDescent="0.2">
      <c r="A206" t="s">
        <v>308</v>
      </c>
      <c r="B206">
        <f>_xlfn.LET(_xlpm.closedTotal, SUMIFS(Sales[Revenue], Sales[Status], "Closed"), _xlpm.closedCount, COUNTIFS(Sales[Status], "Closed"), ROUND(_xlpm.closedTotal / _xlpm.closedCount, 2))</f>
        <v>241.94</v>
      </c>
    </row>
    <row r="208" spans="1:5" x14ac:dyDescent="0.2">
      <c r="A208" t="s">
        <v>310</v>
      </c>
      <c r="B208">
        <f>_xlfn.LET(_xlpm.east, SUMIFS(Sales[Revenue], Sales[Region], "East"), _xlpm.all, SUM(Sales[Revenue]), ROUND(_xlpm.east / _xlpm.all, 3))</f>
        <v>0.313</v>
      </c>
    </row>
    <row r="210" spans="1:2" x14ac:dyDescent="0.2">
      <c r="A210" t="s">
        <v>312</v>
      </c>
      <c r="B210" t="str">
        <f>_xlfn.LET(_xlpm.price, SUM(Products[Price]), _xlpm.cost, SUM(Products[Cost]), _xlpm.margin, (_xlpm.price - _xlpm.cost) / _xlpm.price, IF(_xlpm.margin &gt; 0.4, "Healthy: " &amp; TEXT(_xlpm.margin, "0%"), "Thin"))</f>
        <v>Healthy: 46%</v>
      </c>
    </row>
    <row r="212" spans="1:2" x14ac:dyDescent="0.2">
      <c r="A212" t="s">
        <v>314</v>
      </c>
      <c r="B212" t="str" cm="1">
        <f t="array" ref="B212">_xlfn.LET(_xlpm.avg, AVERAGE(Sales[Revenue]), _xlfn._xlws.FILTER(Sales[Order ID], (Sales[Status] = "Open") * (Sales[Revenue] &gt; _xlpm.avg), "None"))</f>
        <v>SO-1020</v>
      </c>
    </row>
    <row r="214" spans="1:2" x14ac:dyDescent="0.2">
      <c r="A214" t="s">
        <v>317</v>
      </c>
      <c r="B214" cm="1">
        <f t="array" ref="B214">_xlfn.LAMBDA(_xlpm.x, _xlpm.x * 2)(21)</f>
        <v>42</v>
      </c>
    </row>
    <row r="216" spans="1:2" x14ac:dyDescent="0.2">
      <c r="A216" t="s">
        <v>319</v>
      </c>
      <c r="B216" cm="1">
        <f t="array" ref="B216">WithTax(_xlfn.XLOOKUP("Desk Lamp", Products[Product], Products[Price]))</f>
        <v>36.805</v>
      </c>
    </row>
    <row r="218" spans="1:2" x14ac:dyDescent="0.2">
      <c r="A218" t="s">
        <v>321</v>
      </c>
      <c r="B218" cm="1">
        <f t="array" ref="B218:B225">_xlfn.MAP(Staff[Rep], _xlfn.LAMBDA(_xlpm.rep, COUNTIFS(Sales[Rep], _xlpm.rep)))</f>
        <v>5</v>
      </c>
    </row>
    <row r="219" spans="1:2" x14ac:dyDescent="0.2">
      <c r="B219">
        <v>8</v>
      </c>
    </row>
    <row r="220" spans="1:2" x14ac:dyDescent="0.2">
      <c r="B220">
        <v>5</v>
      </c>
    </row>
    <row r="221" spans="1:2" x14ac:dyDescent="0.2">
      <c r="B221">
        <v>6</v>
      </c>
    </row>
    <row r="222" spans="1:2" x14ac:dyDescent="0.2">
      <c r="B222">
        <v>9</v>
      </c>
    </row>
    <row r="223" spans="1:2" x14ac:dyDescent="0.2">
      <c r="B223">
        <v>6</v>
      </c>
    </row>
    <row r="224" spans="1:2" x14ac:dyDescent="0.2">
      <c r="B224">
        <v>6</v>
      </c>
    </row>
    <row r="225" spans="1:2" x14ac:dyDescent="0.2">
      <c r="B225">
        <v>3</v>
      </c>
    </row>
    <row r="227" spans="1:2" x14ac:dyDescent="0.2">
      <c r="A227" t="s">
        <v>323</v>
      </c>
      <c r="B227" cm="1">
        <f t="array" ref="B227">SUM(--(QuarterOf(Sales[Date]) = "Q2"))</f>
        <v>23</v>
      </c>
    </row>
    <row r="229" spans="1:2" x14ac:dyDescent="0.2">
      <c r="A229" t="s">
        <v>325</v>
      </c>
      <c r="B229" cm="1">
        <f t="array" ref="B229:B233">_xlfn.TAKE(_xlfn.SCAN(0, Sales[Units], _xlfn.LAMBDA(_xlpm.total,_xlpm.u, _xlpm.total + _xlpm.u)), -5)</f>
        <v>667</v>
      </c>
    </row>
    <row r="230" spans="1:2" x14ac:dyDescent="0.2">
      <c r="B230">
        <v>672</v>
      </c>
    </row>
    <row r="231" spans="1:2" x14ac:dyDescent="0.2">
      <c r="B231">
        <v>674</v>
      </c>
    </row>
    <row r="232" spans="1:2" x14ac:dyDescent="0.2">
      <c r="B232">
        <v>675</v>
      </c>
    </row>
    <row r="233" spans="1:2" x14ac:dyDescent="0.2">
      <c r="B233">
        <v>682</v>
      </c>
    </row>
    <row r="235" spans="1:2" x14ac:dyDescent="0.2">
      <c r="A235" t="s">
        <v>328</v>
      </c>
      <c r="B235">
        <f>_xlfn.LET(_xlpm.n, COUNTIFS(Sales[Region], "Central"), IF(_xlpm.n = 0, 0, SUM(Sales[Revenue]) / _xlpm.n))</f>
        <v>0</v>
      </c>
    </row>
    <row r="237" spans="1:2" x14ac:dyDescent="0.2">
      <c r="A237" t="s">
        <v>330</v>
      </c>
      <c r="B237" t="str">
        <f>_xlfn.IFNA(_xlfn.XLOOKUP("BS-110", Products[SKU], Products[Price]), "Discontinued")</f>
        <v>Discontinued</v>
      </c>
    </row>
    <row r="239" spans="1:2" x14ac:dyDescent="0.2">
      <c r="A239" t="s">
        <v>332</v>
      </c>
      <c r="B239" t="str" cm="1">
        <f t="array" ref="B239">_xlfn._xlws.FILTER(Sales[Order ID], Sales[Units] &gt; 1000, "None")</f>
        <v>None</v>
      </c>
    </row>
    <row r="241" spans="1:2" x14ac:dyDescent="0.2">
      <c r="A241" t="s">
        <v>334</v>
      </c>
      <c r="B241" cm="1">
        <f t="array" ref="B241">SUM(IFERROR({5;#DIV/0!;15;#N/A;20}, 0))</f>
        <v>40</v>
      </c>
    </row>
    <row r="243" spans="1:2" x14ac:dyDescent="0.2">
      <c r="A243" t="s">
        <v>337</v>
      </c>
      <c r="B243">
        <f>_xlfn.LET(_xlpm.north, SUMIFS(Sales[Revenue], Sales[Region], "North"), _xlpm.all, SUM(Sales[Revenue]), ROUND(_xlpm.north / _xlpm.all * 100, 1))</f>
        <v>19.399999999999999</v>
      </c>
    </row>
    <row r="245" spans="1:2" x14ac:dyDescent="0.2">
      <c r="A245" t="s">
        <v>339</v>
      </c>
      <c r="B245">
        <f>_xlfn.LET(_xlpm.units, SUMIFS(Sales[Units], Sales[Rep], "Dev"), _xlpm.units * IF(_xlpm.units &gt; 100, 0.5, 0.25))</f>
        <v>16.5</v>
      </c>
    </row>
    <row r="247" spans="1:2" x14ac:dyDescent="0.2">
      <c r="A247" t="s">
        <v>341</v>
      </c>
      <c r="B247">
        <f>COUNTIFS(Sales[Revenue], "&gt;=" &amp; MinOrder)</f>
        <v>40</v>
      </c>
    </row>
    <row r="249" spans="1:2" x14ac:dyDescent="0.2">
      <c r="A249" t="s">
        <v>344</v>
      </c>
      <c r="B249">
        <f>ROUND(SUMIFS(Sales[Units], Sales[Region], "West") / SUM(Sales[Units]), 3)</f>
        <v>0.11700000000000001</v>
      </c>
    </row>
    <row r="251" spans="1:2" x14ac:dyDescent="0.2">
      <c r="A251" t="s">
        <v>346</v>
      </c>
      <c r="B251" t="str" cm="1">
        <f t="array" ref="B251:B252">_xlfn.TAKE(_xlfn.SORTBY(Products[Product], Products[Price]), 2)</f>
        <v>Sticky Notes</v>
      </c>
    </row>
    <row r="252" spans="1:2" x14ac:dyDescent="0.2">
      <c r="B252" t="str">
        <v>Notebook</v>
      </c>
    </row>
    <row r="254" spans="1:2" x14ac:dyDescent="0.2">
      <c r="A254" t="s">
        <v>348</v>
      </c>
      <c r="B254" t="str" cm="1">
        <f t="array" ref="B254:B259">_xlfn._xlws.FILTER(Staff[Rep], ISNA(_xlfn.XMATCH(Staff[Rep], _xlfn._xlws.FILTER(Sales[Rep], Sales[Status] = "Cancelled"))))</f>
        <v>Ava</v>
      </c>
    </row>
    <row r="255" spans="1:2" x14ac:dyDescent="0.2">
      <c r="B255" t="str">
        <v>Ben</v>
      </c>
    </row>
    <row r="256" spans="1:2" x14ac:dyDescent="0.2">
      <c r="B256" t="str">
        <v>Chloe</v>
      </c>
    </row>
    <row r="257" spans="1:2" x14ac:dyDescent="0.2">
      <c r="B257" t="str">
        <v>Dev</v>
      </c>
    </row>
    <row r="258" spans="1:2" x14ac:dyDescent="0.2">
      <c r="B258" t="str">
        <v>Elena</v>
      </c>
    </row>
    <row r="259" spans="1:2" x14ac:dyDescent="0.2">
      <c r="B259" t="str">
        <v>Hiro</v>
      </c>
    </row>
    <row r="261" spans="1:2" x14ac:dyDescent="0.2">
      <c r="A261" t="s">
        <v>350</v>
      </c>
      <c r="B261" t="str">
        <f>_xlfn.XLOOKUP("Chloe", Sales[Rep], Sales[Product], , 0, -1)</f>
        <v>Whiteboard</v>
      </c>
    </row>
    <row r="263" spans="1:2" x14ac:dyDescent="0.2">
      <c r="A263" t="s">
        <v>352</v>
      </c>
      <c r="B263" t="str">
        <f>"SO-" &amp; TEXT(VALUE(_xlfn.TEXTAFTER("SO-1001", "-")), "000000")</f>
        <v>SO-001001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19B1-D582-4544-8716-88A81CB4EE5A}">
  <dimension ref="A1:B1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167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171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IF(ISBLANK(B5),"",IF(IFERROR(AND(B5=Answers!$B$1),FALSE),"✓ Correct","Not yet"))</f>
        <v/>
      </c>
    </row>
    <row r="8" spans="1:2" x14ac:dyDescent="0.2">
      <c r="A8" s="5" t="s">
        <v>174</v>
      </c>
      <c r="B8" s="9" t="s">
        <v>175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IF(ISBLANK(B9),"",IF(IFERROR(AND(B9=Answers!$B$3),FALSE),"✓ Correct","Not yet"))</f>
        <v/>
      </c>
    </row>
    <row r="12" spans="1:2" x14ac:dyDescent="0.2">
      <c r="A12" s="5" t="s">
        <v>177</v>
      </c>
      <c r="B12" s="9" t="s">
        <v>178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IF(ISBLANK(B13),"",IF(IFERROR(AND(B13=Answers!$B$5),FALSE),"✓ Correct","Not yet"))</f>
        <v/>
      </c>
    </row>
    <row r="16" spans="1:2" x14ac:dyDescent="0.2">
      <c r="A16" s="5" t="s">
        <v>180</v>
      </c>
      <c r="B16" s="9" t="s">
        <v>181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IF(ISBLANK(B17),"",IF(IFERROR(AND(B17=Answers!$B$7),FALSE),"✓ Correct","Not yet"))</f>
        <v/>
      </c>
    </row>
  </sheetData>
  <conditionalFormatting sqref="A6">
    <cfRule type="cellIs" dxfId="80" priority="1" stopIfTrue="1" operator="equal">
      <formula>"✓ Correct"</formula>
    </cfRule>
  </conditionalFormatting>
  <conditionalFormatting sqref="A10">
    <cfRule type="cellIs" dxfId="79" priority="2" stopIfTrue="1" operator="equal">
      <formula>"✓ Correct"</formula>
    </cfRule>
  </conditionalFormatting>
  <conditionalFormatting sqref="A14">
    <cfRule type="cellIs" dxfId="78" priority="3" stopIfTrue="1" operator="equal">
      <formula>"✓ Correct"</formula>
    </cfRule>
  </conditionalFormatting>
  <conditionalFormatting sqref="A18">
    <cfRule type="cellIs" dxfId="77" priority="4" stopIfTrue="1" operator="equal">
      <formula>"✓ Correct"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1EF3-DBD6-4280-826B-0DD73C5C4F4C}">
  <dimension ref="A1:B1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182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184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IF(ISBLANK(B5),"",IF(IFERROR(AND(B5=Answers!$B$9),FALSE),"✓ Correct","Not yet"))</f>
        <v/>
      </c>
    </row>
    <row r="8" spans="1:2" x14ac:dyDescent="0.2">
      <c r="A8" s="5" t="s">
        <v>174</v>
      </c>
      <c r="B8" s="9" t="s">
        <v>186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IF(ISBLANK(B9),"",IF(IFERROR(AND(B9=Answers!$B$11),FALSE),"✓ Correct","Not yet"))</f>
        <v/>
      </c>
    </row>
    <row r="12" spans="1:2" x14ac:dyDescent="0.2">
      <c r="A12" s="5" t="s">
        <v>177</v>
      </c>
      <c r="B12" s="9" t="s">
        <v>188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IF(ISBLANK(B13),"",IF(IFERROR(AND(B13=Answers!$B$13),FALSE),"✓ Correct","Not yet"))</f>
        <v/>
      </c>
    </row>
    <row r="16" spans="1:2" x14ac:dyDescent="0.2">
      <c r="A16" s="5" t="s">
        <v>180</v>
      </c>
      <c r="B16" s="9" t="s">
        <v>190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IF(ISBLANK(B17),"",IF(IFERROR(AND(B17=Answers!$B$15),FALSE),"✓ Correct","Not yet"))</f>
        <v/>
      </c>
    </row>
  </sheetData>
  <conditionalFormatting sqref="A6">
    <cfRule type="cellIs" dxfId="76" priority="1" stopIfTrue="1" operator="equal">
      <formula>"✓ Correct"</formula>
    </cfRule>
  </conditionalFormatting>
  <conditionalFormatting sqref="A10">
    <cfRule type="cellIs" dxfId="75" priority="2" stopIfTrue="1" operator="equal">
      <formula>"✓ Correct"</formula>
    </cfRule>
  </conditionalFormatting>
  <conditionalFormatting sqref="A14">
    <cfRule type="cellIs" dxfId="74" priority="3" stopIfTrue="1" operator="equal">
      <formula>"✓ Correct"</formula>
    </cfRule>
  </conditionalFormatting>
  <conditionalFormatting sqref="A18">
    <cfRule type="cellIs" dxfId="73" priority="4" stopIfTrue="1" operator="equal">
      <formula>"✓ Correct"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DF5C-EE9C-4BD9-B2DA-80E2E4BDB391}">
  <dimension ref="A1:B1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191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193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IF(ISBLANK(B5),"",IF(IFERROR(AND(B5=Answers!$B$17),FALSE),"✓ Correct","Not yet"))</f>
        <v/>
      </c>
    </row>
    <row r="8" spans="1:2" x14ac:dyDescent="0.2">
      <c r="A8" s="5" t="s">
        <v>174</v>
      </c>
      <c r="B8" s="9" t="s">
        <v>195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IF(ISBLANK(B9),"",IF(IFERROR(AND(B9=Answers!$B$19),FALSE),"✓ Correct","Not yet"))</f>
        <v/>
      </c>
    </row>
    <row r="12" spans="1:2" x14ac:dyDescent="0.2">
      <c r="A12" s="5" t="s">
        <v>177</v>
      </c>
      <c r="B12" s="9" t="s">
        <v>197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IF(ISBLANK(B13),"",IF(IFERROR(AND(B13=Answers!$B$21),FALSE),"✓ Correct","Not yet"))</f>
        <v/>
      </c>
    </row>
    <row r="16" spans="1:2" x14ac:dyDescent="0.2">
      <c r="A16" s="5" t="s">
        <v>180</v>
      </c>
      <c r="B16" s="9" t="s">
        <v>199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IF(ISBLANK(B17),"",IF(IFERROR(AND(B17=Answers!$B$23),FALSE),"✓ Correct","Not yet"))</f>
        <v/>
      </c>
    </row>
  </sheetData>
  <conditionalFormatting sqref="A6">
    <cfRule type="cellIs" dxfId="72" priority="1" stopIfTrue="1" operator="equal">
      <formula>"✓ Correct"</formula>
    </cfRule>
  </conditionalFormatting>
  <conditionalFormatting sqref="A10">
    <cfRule type="cellIs" dxfId="71" priority="2" stopIfTrue="1" operator="equal">
      <formula>"✓ Correct"</formula>
    </cfRule>
  </conditionalFormatting>
  <conditionalFormatting sqref="A14">
    <cfRule type="cellIs" dxfId="70" priority="3" stopIfTrue="1" operator="equal">
      <formula>"✓ Correct"</formula>
    </cfRule>
  </conditionalFormatting>
  <conditionalFormatting sqref="A18">
    <cfRule type="cellIs" dxfId="69" priority="4" stopIfTrue="1" operator="equal">
      <formula>"✓ Correct"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AE4A-C5E6-48B0-9C81-295AFD73DFDF}">
  <dimension ref="A1:B22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200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202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IF(ISBLANK(B5),"",IF(IFERROR(AND(B5=Answers!$B$25),FALSE),"✓ Correct","Not yet"))</f>
        <v/>
      </c>
    </row>
    <row r="8" spans="1:2" x14ac:dyDescent="0.2">
      <c r="A8" s="5" t="s">
        <v>174</v>
      </c>
      <c r="B8" s="9" t="s">
        <v>204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IF(ISBLANK(B9),"",IF(IFERROR(AND(B9=Answers!$B$27),FALSE),"✓ Correct","Not yet"))</f>
        <v/>
      </c>
    </row>
    <row r="12" spans="1:2" x14ac:dyDescent="0.2">
      <c r="A12" s="5" t="s">
        <v>177</v>
      </c>
      <c r="B12" s="9" t="s">
        <v>206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IF(ISBLANK(B13),"",IF(IFERROR(AND(B13=Answers!$B$29),FALSE),"✓ Correct","Not yet"))</f>
        <v/>
      </c>
    </row>
    <row r="16" spans="1:2" x14ac:dyDescent="0.2">
      <c r="A16" s="5" t="s">
        <v>180</v>
      </c>
      <c r="B16" s="9" t="s">
        <v>208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IF(ISBLANK(B17),"",IF(IFERROR(AND(B17=Answers!$B$31),FALSE),"✓ Correct","Not yet"))</f>
        <v/>
      </c>
    </row>
    <row r="20" spans="1:2" x14ac:dyDescent="0.2">
      <c r="A20" s="5" t="s">
        <v>210</v>
      </c>
      <c r="B20" s="9" t="s">
        <v>211</v>
      </c>
    </row>
    <row r="21" spans="1:2" x14ac:dyDescent="0.2">
      <c r="A21" s="8" t="s">
        <v>172</v>
      </c>
      <c r="B21" s="10"/>
    </row>
    <row r="22" spans="1:2" x14ac:dyDescent="0.2">
      <c r="A22" s="5" t="str">
        <f>IF(ISBLANK(B21),"",IF(IFERROR(AND(B21=Answers!$B$33),FALSE),"✓ Correct","Not yet"))</f>
        <v/>
      </c>
    </row>
  </sheetData>
  <conditionalFormatting sqref="A6">
    <cfRule type="cellIs" dxfId="68" priority="1" stopIfTrue="1" operator="equal">
      <formula>"✓ Correct"</formula>
    </cfRule>
  </conditionalFormatting>
  <conditionalFormatting sqref="A10">
    <cfRule type="cellIs" dxfId="67" priority="2" stopIfTrue="1" operator="equal">
      <formula>"✓ Correct"</formula>
    </cfRule>
  </conditionalFormatting>
  <conditionalFormatting sqref="A14">
    <cfRule type="cellIs" dxfId="66" priority="3" stopIfTrue="1" operator="equal">
      <formula>"✓ Correct"</formula>
    </cfRule>
  </conditionalFormatting>
  <conditionalFormatting sqref="A18">
    <cfRule type="cellIs" dxfId="65" priority="4" stopIfTrue="1" operator="equal">
      <formula>"✓ Correct"</formula>
    </cfRule>
  </conditionalFormatting>
  <conditionalFormatting sqref="A22">
    <cfRule type="cellIs" dxfId="64" priority="5" stopIfTrue="1" operator="equal">
      <formula>"✓ Correct"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7C1-75FA-45B2-B336-ECB46869ED25}">
  <dimension ref="A1:B22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212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214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IF(ISBLANK(B5),"",IF(IFERROR(AND(B5=Answers!$B$35),FALSE),"✓ Correct","Not yet"))</f>
        <v/>
      </c>
    </row>
    <row r="8" spans="1:2" x14ac:dyDescent="0.2">
      <c r="A8" s="5" t="s">
        <v>174</v>
      </c>
      <c r="B8" s="9" t="s">
        <v>216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IF(ISBLANK(B9),"",IF(IFERROR(AND(B9=Answers!$B$37),FALSE),"✓ Correct","Not yet"))</f>
        <v/>
      </c>
    </row>
    <row r="12" spans="1:2" x14ac:dyDescent="0.2">
      <c r="A12" s="5" t="s">
        <v>177</v>
      </c>
      <c r="B12" s="9" t="s">
        <v>218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IF(ISBLANK(B13),"",IF(IFERROR(AND(B13=Answers!$B$39),FALSE),"✓ Correct","Not yet"))</f>
        <v/>
      </c>
    </row>
    <row r="16" spans="1:2" x14ac:dyDescent="0.2">
      <c r="A16" s="5" t="s">
        <v>180</v>
      </c>
      <c r="B16" s="9" t="s">
        <v>220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IF(ISBLANK(B17),"",IF(IFERROR(AND(B17=Answers!$B$41),FALSE),"✓ Correct","Not yet"))</f>
        <v/>
      </c>
    </row>
    <row r="20" spans="1:2" x14ac:dyDescent="0.2">
      <c r="A20" s="5" t="s">
        <v>210</v>
      </c>
      <c r="B20" s="9" t="s">
        <v>222</v>
      </c>
    </row>
    <row r="21" spans="1:2" x14ac:dyDescent="0.2">
      <c r="A21" s="8" t="s">
        <v>172</v>
      </c>
      <c r="B21" s="10"/>
    </row>
    <row r="22" spans="1:2" x14ac:dyDescent="0.2">
      <c r="A22" s="5" t="str">
        <f>IF(ISBLANK(B21),"",IF(IFERROR(AND(B21=Answers!$B$43),FALSE),"✓ Correct","Not yet"))</f>
        <v/>
      </c>
    </row>
  </sheetData>
  <conditionalFormatting sqref="A6">
    <cfRule type="cellIs" dxfId="63" priority="1" stopIfTrue="1" operator="equal">
      <formula>"✓ Correct"</formula>
    </cfRule>
  </conditionalFormatting>
  <conditionalFormatting sqref="A10">
    <cfRule type="cellIs" dxfId="62" priority="2" stopIfTrue="1" operator="equal">
      <formula>"✓ Correct"</formula>
    </cfRule>
  </conditionalFormatting>
  <conditionalFormatting sqref="A14">
    <cfRule type="cellIs" dxfId="61" priority="3" stopIfTrue="1" operator="equal">
      <formula>"✓ Correct"</formula>
    </cfRule>
  </conditionalFormatting>
  <conditionalFormatting sqref="A18">
    <cfRule type="cellIs" dxfId="60" priority="4" stopIfTrue="1" operator="equal">
      <formula>"✓ Correct"</formula>
    </cfRule>
  </conditionalFormatting>
  <conditionalFormatting sqref="A22">
    <cfRule type="cellIs" dxfId="59" priority="5" stopIfTrue="1" operator="equal">
      <formula>"✓ Correct"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1E48-74D1-4880-96B7-FA8785026690}">
  <dimension ref="A1:B26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223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225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IF(ISBLANK(B5),"",IF(IFERROR(AND(B5=Answers!$B$45),FALSE),"✓ Correct","Not yet"))</f>
        <v/>
      </c>
    </row>
    <row r="8" spans="1:2" x14ac:dyDescent="0.2">
      <c r="A8" s="5" t="s">
        <v>174</v>
      </c>
      <c r="B8" s="9" t="s">
        <v>227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IF(ISBLANK(B9),"",IF(IFERROR(AND(B9=Answers!$B$47),FALSE),"✓ Correct","Not yet"))</f>
        <v/>
      </c>
    </row>
    <row r="12" spans="1:2" x14ac:dyDescent="0.2">
      <c r="A12" s="5" t="s">
        <v>177</v>
      </c>
      <c r="B12" s="9" t="s">
        <v>229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IF(ISBLANK(B13),"",IF(IFERROR(AND(B13=Answers!$B$49),FALSE),"✓ Correct","Not yet"))</f>
        <v/>
      </c>
    </row>
    <row r="16" spans="1:2" x14ac:dyDescent="0.2">
      <c r="A16" s="5" t="s">
        <v>180</v>
      </c>
      <c r="B16" s="9" t="s">
        <v>231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IF(ISBLANK(B17),"",IF(IFERROR(AND(B17=Answers!$B$51),FALSE),"✓ Correct","Not yet"))</f>
        <v/>
      </c>
    </row>
    <row r="20" spans="1:2" x14ac:dyDescent="0.2">
      <c r="A20" s="5" t="s">
        <v>210</v>
      </c>
      <c r="B20" s="9" t="s">
        <v>233</v>
      </c>
    </row>
    <row r="21" spans="1:2" x14ac:dyDescent="0.2">
      <c r="A21" s="8" t="s">
        <v>172</v>
      </c>
      <c r="B21" s="10"/>
    </row>
    <row r="22" spans="1:2" x14ac:dyDescent="0.2">
      <c r="A22" s="5" t="str">
        <f>IF(ISBLANK(B21),"",IF(IFERROR(AND(B21=Answers!$B$53),FALSE),"✓ Correct","Not yet"))</f>
        <v/>
      </c>
    </row>
    <row r="24" spans="1:2" x14ac:dyDescent="0.2">
      <c r="A24" s="5" t="s">
        <v>235</v>
      </c>
      <c r="B24" s="9" t="s">
        <v>236</v>
      </c>
    </row>
    <row r="25" spans="1:2" x14ac:dyDescent="0.2">
      <c r="A25" s="8" t="s">
        <v>172</v>
      </c>
      <c r="B25" s="10"/>
    </row>
    <row r="26" spans="1:2" x14ac:dyDescent="0.2">
      <c r="A26" s="5" t="str">
        <f>IF(ISBLANK(B25),"",IF(IFERROR(AND(B25=Answers!$B$55),FALSE),"✓ Correct","Not yet"))</f>
        <v/>
      </c>
    </row>
  </sheetData>
  <conditionalFormatting sqref="A6">
    <cfRule type="cellIs" dxfId="58" priority="1" stopIfTrue="1" operator="equal">
      <formula>"✓ Correct"</formula>
    </cfRule>
  </conditionalFormatting>
  <conditionalFormatting sqref="A10">
    <cfRule type="cellIs" dxfId="57" priority="2" stopIfTrue="1" operator="equal">
      <formula>"✓ Correct"</formula>
    </cfRule>
  </conditionalFormatting>
  <conditionalFormatting sqref="A14">
    <cfRule type="cellIs" dxfId="56" priority="3" stopIfTrue="1" operator="equal">
      <formula>"✓ Correct"</formula>
    </cfRule>
  </conditionalFormatting>
  <conditionalFormatting sqref="A18">
    <cfRule type="cellIs" dxfId="55" priority="4" stopIfTrue="1" operator="equal">
      <formula>"✓ Correct"</formula>
    </cfRule>
  </conditionalFormatting>
  <conditionalFormatting sqref="A22">
    <cfRule type="cellIs" dxfId="54" priority="5" stopIfTrue="1" operator="equal">
      <formula>"✓ Correct"</formula>
    </cfRule>
  </conditionalFormatting>
  <conditionalFormatting sqref="A26">
    <cfRule type="cellIs" dxfId="53" priority="6" stopIfTrue="1" operator="equal">
      <formula>"✓ Correct"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5D5A-E05E-446C-85CF-71D412A2EBC2}">
  <dimension ref="A1:B39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237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239</v>
      </c>
    </row>
    <row r="5" spans="1:2" x14ac:dyDescent="0.2">
      <c r="A5" s="8" t="s">
        <v>172</v>
      </c>
      <c r="B5" s="10"/>
    </row>
    <row r="6" spans="1:2" x14ac:dyDescent="0.2">
      <c r="A6" s="5" t="str" cm="1">
        <f t="array" ref="A6">IF(ISBLANK(B5),"",IFERROR(IF(AND(ROWS(_xlfn.ANCHORARRAY(B5))=ROWS(_xlfn.ANCHORARRAY(Answers!$B$57)),COLUMNS(_xlfn.ANCHORARRAY(B5))=COLUMNS(_xlfn.ANCHORARRAY(Answers!$B$57)),AND(_xlfn.ANCHORARRAY(B5)=_xlfn.ANCHORARRAY(Answers!$B$57))),"✓ Correct","Not yet"),"Not yet"))</f>
        <v/>
      </c>
    </row>
    <row r="13" spans="1:2" x14ac:dyDescent="0.2">
      <c r="A13" s="5" t="s">
        <v>174</v>
      </c>
      <c r="B13" s="9" t="s">
        <v>241</v>
      </c>
    </row>
    <row r="14" spans="1:2" x14ac:dyDescent="0.2">
      <c r="A14" s="8" t="s">
        <v>172</v>
      </c>
      <c r="B14" s="10"/>
    </row>
    <row r="15" spans="1:2" x14ac:dyDescent="0.2">
      <c r="A15" s="5" t="str" cm="1">
        <f t="array" ref="A15">IF(ISBLANK(B14),"",IFERROR(IF(AND(ROWS(_xlfn.ANCHORARRAY(B14))=ROWS(_xlfn.ANCHORARRAY(Answers!$B$64)),COLUMNS(_xlfn.ANCHORARRAY(B14))=COLUMNS(_xlfn.ANCHORARRAY(Answers!$B$64)),AND(_xlfn.ANCHORARRAY(B14)=_xlfn.ANCHORARRAY(Answers!$B$64))),"✓ Correct","Not yet"),"Not yet"))</f>
        <v/>
      </c>
    </row>
    <row r="22" spans="1:2" x14ac:dyDescent="0.2">
      <c r="A22" s="5" t="s">
        <v>177</v>
      </c>
      <c r="B22" s="9" t="s">
        <v>243</v>
      </c>
    </row>
    <row r="23" spans="1:2" x14ac:dyDescent="0.2">
      <c r="A23" s="8" t="s">
        <v>172</v>
      </c>
      <c r="B23" s="10"/>
    </row>
    <row r="24" spans="1:2" x14ac:dyDescent="0.2">
      <c r="A24" s="5" t="str" cm="1">
        <f t="array" ref="A24">IF(ISBLANK(B23),"",IFERROR(IF(AND(ROWS(_xlfn.ANCHORARRAY(B23))=ROWS(_xlfn.ANCHORARRAY(Answers!$B$71)),COLUMNS(_xlfn.ANCHORARRAY(B23))=COLUMNS(_xlfn.ANCHORARRAY(Answers!$B$71)),AND(_xlfn.ANCHORARRAY(B23)=_xlfn.ANCHORARRAY(Answers!$B$71))),"✓ Correct","Not yet"),"Not yet"))</f>
        <v/>
      </c>
    </row>
    <row r="33" spans="1:2" x14ac:dyDescent="0.2">
      <c r="A33" s="5" t="s">
        <v>180</v>
      </c>
      <c r="B33" s="9" t="s">
        <v>245</v>
      </c>
    </row>
    <row r="34" spans="1:2" x14ac:dyDescent="0.2">
      <c r="A34" s="8" t="s">
        <v>172</v>
      </c>
      <c r="B34" s="10"/>
    </row>
    <row r="35" spans="1:2" x14ac:dyDescent="0.2">
      <c r="A35" s="5" t="str">
        <f>IF(ISBLANK(B34),"",IF(IFERROR(AND(B34=Answers!$B$80),FALSE),"✓ Correct","Not yet"))</f>
        <v/>
      </c>
    </row>
    <row r="37" spans="1:2" x14ac:dyDescent="0.2">
      <c r="A37" s="5" t="s">
        <v>210</v>
      </c>
      <c r="B37" s="9" t="s">
        <v>247</v>
      </c>
    </row>
    <row r="38" spans="1:2" x14ac:dyDescent="0.2">
      <c r="A38" s="8" t="s">
        <v>172</v>
      </c>
      <c r="B38" s="10"/>
    </row>
    <row r="39" spans="1:2" x14ac:dyDescent="0.2">
      <c r="A39" s="5" t="str">
        <f>IF(ISBLANK(B38),"",IF(IFERROR(AND(B38=Answers!$B$82),FALSE),"✓ Correct","Not yet"))</f>
        <v/>
      </c>
    </row>
  </sheetData>
  <conditionalFormatting sqref="A6">
    <cfRule type="cellIs" dxfId="52" priority="1" stopIfTrue="1" operator="equal">
      <formula>"✓ Correct"</formula>
    </cfRule>
  </conditionalFormatting>
  <conditionalFormatting sqref="A15">
    <cfRule type="cellIs" dxfId="51" priority="2" stopIfTrue="1" operator="equal">
      <formula>"✓ Correct"</formula>
    </cfRule>
  </conditionalFormatting>
  <conditionalFormatting sqref="A24">
    <cfRule type="cellIs" dxfId="50" priority="3" stopIfTrue="1" operator="equal">
      <formula>"✓ Correct"</formula>
    </cfRule>
  </conditionalFormatting>
  <conditionalFormatting sqref="A35">
    <cfRule type="cellIs" dxfId="49" priority="4" stopIfTrue="1" operator="equal">
      <formula>"✓ Correct"</formula>
    </cfRule>
  </conditionalFormatting>
  <conditionalFormatting sqref="A39">
    <cfRule type="cellIs" dxfId="48" priority="5" stopIfTrue="1" operator="equal">
      <formula>"✓ Correct"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A112-274F-4E31-A053-A81653455259}">
  <dimension ref="A1:B22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248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250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IF(ISBLANK(B5),"",IF(IFERROR(AND(B5=Answers!$B$84),FALSE),"✓ Correct","Not yet"))</f>
        <v/>
      </c>
    </row>
    <row r="8" spans="1:2" x14ac:dyDescent="0.2">
      <c r="A8" s="5" t="s">
        <v>174</v>
      </c>
      <c r="B8" s="9" t="s">
        <v>252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IF(ISBLANK(B9),"",IF(IFERROR(AND(B9=Answers!$B$86),FALSE),"✓ Correct","Not yet"))</f>
        <v/>
      </c>
    </row>
    <row r="12" spans="1:2" x14ac:dyDescent="0.2">
      <c r="A12" s="5" t="s">
        <v>177</v>
      </c>
      <c r="B12" s="9" t="s">
        <v>254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IF(ISBLANK(B13),"",IF(IFERROR(AND(B13=Answers!$B$88),FALSE),"✓ Correct","Not yet"))</f>
        <v/>
      </c>
    </row>
    <row r="16" spans="1:2" x14ac:dyDescent="0.2">
      <c r="A16" s="5" t="s">
        <v>180</v>
      </c>
      <c r="B16" s="9" t="s">
        <v>256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IF(ISBLANK(B17),"",IF(IFERROR(AND(B17=Answers!$B$90),FALSE),"✓ Correct","Not yet"))</f>
        <v/>
      </c>
    </row>
    <row r="20" spans="1:2" x14ac:dyDescent="0.2">
      <c r="A20" s="5" t="s">
        <v>210</v>
      </c>
      <c r="B20" s="9" t="s">
        <v>258</v>
      </c>
    </row>
    <row r="21" spans="1:2" x14ac:dyDescent="0.2">
      <c r="A21" s="8" t="s">
        <v>172</v>
      </c>
      <c r="B21" s="10"/>
    </row>
    <row r="22" spans="1:2" x14ac:dyDescent="0.2">
      <c r="A22" s="5" t="str">
        <f>IF(ISBLANK(B21),"",IF(IFERROR(AND(B21=Answers!$B$92),FALSE),"✓ Correct","Not yet"))</f>
        <v/>
      </c>
    </row>
  </sheetData>
  <conditionalFormatting sqref="A6">
    <cfRule type="cellIs" dxfId="47" priority="1" stopIfTrue="1" operator="equal">
      <formula>"✓ Correct"</formula>
    </cfRule>
  </conditionalFormatting>
  <conditionalFormatting sqref="A10">
    <cfRule type="cellIs" dxfId="46" priority="2" stopIfTrue="1" operator="equal">
      <formula>"✓ Correct"</formula>
    </cfRule>
  </conditionalFormatting>
  <conditionalFormatting sqref="A14">
    <cfRule type="cellIs" dxfId="45" priority="3" stopIfTrue="1" operator="equal">
      <formula>"✓ Correct"</formula>
    </cfRule>
  </conditionalFormatting>
  <conditionalFormatting sqref="A18">
    <cfRule type="cellIs" dxfId="44" priority="4" stopIfTrue="1" operator="equal">
      <formula>"✓ Correct"</formula>
    </cfRule>
  </conditionalFormatting>
  <conditionalFormatting sqref="A22">
    <cfRule type="cellIs" dxfId="43" priority="5" stopIfTrue="1" operator="equal">
      <formula>"✓ Correct"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1D9C-C417-4111-852C-DA5421A3B0EE}">
  <dimension ref="A1:B26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259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261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IF(ISBLANK(B5),"",IF(IFERROR(AND(B5=Answers!$B$94),FALSE),"✓ Correct","Not yet"))</f>
        <v/>
      </c>
    </row>
    <row r="8" spans="1:2" x14ac:dyDescent="0.2">
      <c r="A8" s="5" t="s">
        <v>174</v>
      </c>
      <c r="B8" s="9" t="s">
        <v>263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IF(ISBLANK(B9),"",IF(IFERROR(AND(B9=Answers!$B$96),FALSE),"✓ Correct","Not yet"))</f>
        <v/>
      </c>
    </row>
    <row r="12" spans="1:2" x14ac:dyDescent="0.2">
      <c r="A12" s="5" t="s">
        <v>177</v>
      </c>
      <c r="B12" s="9" t="s">
        <v>265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IF(ISBLANK(B13),"",IF(IFERROR(AND(B13=Answers!$B$98),FALSE),"✓ Correct","Not yet"))</f>
        <v/>
      </c>
    </row>
    <row r="16" spans="1:2" x14ac:dyDescent="0.2">
      <c r="A16" s="5" t="s">
        <v>180</v>
      </c>
      <c r="B16" s="9" t="s">
        <v>267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IF(ISBLANK(B17),"",IF(IFERROR(AND(B17=Answers!$B$100),FALSE),"✓ Correct","Not yet"))</f>
        <v/>
      </c>
    </row>
    <row r="20" spans="1:2" x14ac:dyDescent="0.2">
      <c r="A20" s="5" t="s">
        <v>210</v>
      </c>
      <c r="B20" s="9" t="s">
        <v>269</v>
      </c>
    </row>
    <row r="21" spans="1:2" x14ac:dyDescent="0.2">
      <c r="A21" s="8" t="s">
        <v>172</v>
      </c>
      <c r="B21" s="10"/>
    </row>
    <row r="22" spans="1:2" x14ac:dyDescent="0.2">
      <c r="A22" s="5" t="str">
        <f>IF(ISBLANK(B21),"",IF(IFERROR(AND(B21=Answers!$B$102),FALSE),"✓ Correct","Not yet"))</f>
        <v/>
      </c>
    </row>
    <row r="24" spans="1:2" x14ac:dyDescent="0.2">
      <c r="A24" s="5" t="s">
        <v>235</v>
      </c>
      <c r="B24" s="9" t="s">
        <v>271</v>
      </c>
    </row>
    <row r="25" spans="1:2" x14ac:dyDescent="0.2">
      <c r="A25" s="8" t="s">
        <v>172</v>
      </c>
      <c r="B25" s="10"/>
    </row>
    <row r="26" spans="1:2" x14ac:dyDescent="0.2">
      <c r="A26" s="5" t="str">
        <f>IF(ISBLANK(B25),"",IF(IFERROR(AND(B25=Answers!$B$104),FALSE),"✓ Correct","Not yet"))</f>
        <v/>
      </c>
    </row>
  </sheetData>
  <conditionalFormatting sqref="A6">
    <cfRule type="cellIs" dxfId="42" priority="1" stopIfTrue="1" operator="equal">
      <formula>"✓ Correct"</formula>
    </cfRule>
  </conditionalFormatting>
  <conditionalFormatting sqref="A10">
    <cfRule type="cellIs" dxfId="41" priority="2" stopIfTrue="1" operator="equal">
      <formula>"✓ Correct"</formula>
    </cfRule>
  </conditionalFormatting>
  <conditionalFormatting sqref="A14">
    <cfRule type="cellIs" dxfId="40" priority="3" stopIfTrue="1" operator="equal">
      <formula>"✓ Correct"</formula>
    </cfRule>
  </conditionalFormatting>
  <conditionalFormatting sqref="A18">
    <cfRule type="cellIs" dxfId="39" priority="4" stopIfTrue="1" operator="equal">
      <formula>"✓ Correct"</formula>
    </cfRule>
  </conditionalFormatting>
  <conditionalFormatting sqref="A22">
    <cfRule type="cellIs" dxfId="38" priority="5" stopIfTrue="1" operator="equal">
      <formula>"✓ Correct"</formula>
    </cfRule>
  </conditionalFormatting>
  <conditionalFormatting sqref="A26">
    <cfRule type="cellIs" dxfId="37" priority="6" stopIfTrue="1" operator="equal">
      <formula>"✓ Correct"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4798-06BB-4F68-9DB5-C14C4600F184}">
  <dimension ref="A1:B41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272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274</v>
      </c>
    </row>
    <row r="5" spans="1:2" x14ac:dyDescent="0.2">
      <c r="A5" s="8" t="s">
        <v>172</v>
      </c>
      <c r="B5" s="10"/>
    </row>
    <row r="6" spans="1:2" x14ac:dyDescent="0.2">
      <c r="A6" s="5" t="str" cm="1">
        <f t="array" ref="A6">IF(ISBLANK(B5),"",IFERROR(IF(AND(ROWS(_xlfn.ANCHORARRAY(B5))=ROWS(_xlfn.ANCHORARRAY(Answers!$B$106)),COLUMNS(_xlfn.ANCHORARRAY(B5))=COLUMNS(_xlfn.ANCHORARRAY(Answers!$B$106)),AND(_xlfn.ANCHORARRAY(B5)=_xlfn.ANCHORARRAY(Answers!$B$106))),"✓ Correct","Not yet"),"Not yet"))</f>
        <v/>
      </c>
    </row>
    <row r="17" spans="1:2" x14ac:dyDescent="0.2">
      <c r="A17" s="5" t="s">
        <v>174</v>
      </c>
      <c r="B17" s="9" t="s">
        <v>276</v>
      </c>
    </row>
    <row r="18" spans="1:2" x14ac:dyDescent="0.2">
      <c r="A18" s="8" t="s">
        <v>172</v>
      </c>
      <c r="B18" s="10"/>
    </row>
    <row r="19" spans="1:2" x14ac:dyDescent="0.2">
      <c r="A19" s="5" t="str" cm="1">
        <f t="array" ref="A19">IF(ISBLANK(B18),"",IFERROR(IF(AND(ROWS(_xlfn.ANCHORARRAY(B18))=ROWS(_xlfn.ANCHORARRAY(Answers!$B$117)),COLUMNS(_xlfn.ANCHORARRAY(B18))=COLUMNS(_xlfn.ANCHORARRAY(Answers!$B$117)),AND(_xlfn.ANCHORARRAY(B18)=_xlfn.ANCHORARRAY(Answers!$B$117))),"✓ Correct","Not yet"),"Not yet"))</f>
        <v/>
      </c>
    </row>
    <row r="28" spans="1:2" x14ac:dyDescent="0.2">
      <c r="A28" s="5" t="s">
        <v>177</v>
      </c>
      <c r="B28" s="9" t="s">
        <v>278</v>
      </c>
    </row>
    <row r="29" spans="1:2" x14ac:dyDescent="0.2">
      <c r="A29" s="8" t="s">
        <v>172</v>
      </c>
      <c r="B29" s="10"/>
    </row>
    <row r="30" spans="1:2" x14ac:dyDescent="0.2">
      <c r="A30" s="5" t="str" cm="1">
        <f t="array" ref="A30">IF(ISBLANK(B29),"",IFERROR(IF(AND(ROWS(_xlfn.ANCHORARRAY(B29))=ROWS(_xlfn.ANCHORARRAY(Answers!$B$126)),COLUMNS(_xlfn.ANCHORARRAY(B29))=COLUMNS(_xlfn.ANCHORARRAY(Answers!$B$126)),AND(_xlfn.ANCHORARRAY(B29)=_xlfn.ANCHORARRAY(Answers!$B$126))),"✓ Correct","Not yet"),"Not yet"))</f>
        <v/>
      </c>
    </row>
    <row r="35" spans="1:2" x14ac:dyDescent="0.2">
      <c r="A35" s="5" t="s">
        <v>180</v>
      </c>
      <c r="B35" s="9" t="s">
        <v>280</v>
      </c>
    </row>
    <row r="36" spans="1:2" x14ac:dyDescent="0.2">
      <c r="A36" s="8" t="s">
        <v>172</v>
      </c>
      <c r="B36" s="10"/>
    </row>
    <row r="37" spans="1:2" x14ac:dyDescent="0.2">
      <c r="A37" s="5" t="str" cm="1">
        <f t="array" ref="A37">IF(ISBLANK(B36),"",IFERROR(IF(AND(ROWS(_xlfn.ANCHORARRAY(B36))=ROWS(_xlfn.ANCHORARRAY(Answers!$B$131)),COLUMNS(_xlfn.ANCHORARRAY(B36))=COLUMNS(_xlfn.ANCHORARRAY(Answers!$B$131)),AND(_xlfn.ANCHORARRAY(B36)=_xlfn.ANCHORARRAY(Answers!$B$131))),"✓ Correct","Not yet"),"Not yet"))</f>
        <v/>
      </c>
    </row>
    <row r="39" spans="1:2" x14ac:dyDescent="0.2">
      <c r="A39" s="5" t="s">
        <v>210</v>
      </c>
      <c r="B39" s="9" t="s">
        <v>282</v>
      </c>
    </row>
    <row r="40" spans="1:2" x14ac:dyDescent="0.2">
      <c r="A40" s="8" t="s">
        <v>172</v>
      </c>
      <c r="B40" s="10"/>
    </row>
    <row r="41" spans="1:2" x14ac:dyDescent="0.2">
      <c r="A41" s="5" t="str" cm="1">
        <f t="array" ref="A41">IF(ISBLANK(B40),"",IFERROR(IF(AND(ROWS(_xlfn.ANCHORARRAY(B40))=ROWS(_xlfn.ANCHORARRAY(Answers!$B$133)),COLUMNS(_xlfn.ANCHORARRAY(B40))=COLUMNS(_xlfn.ANCHORARRAY(Answers!$B$133)),AND(_xlfn.ANCHORARRAY(B40)=_xlfn.ANCHORARRAY(Answers!$B$133))),"✓ Correct","Not yet"),"Not yet"))</f>
        <v/>
      </c>
    </row>
  </sheetData>
  <conditionalFormatting sqref="A6">
    <cfRule type="cellIs" dxfId="36" priority="1" stopIfTrue="1" operator="equal">
      <formula>"✓ Correct"</formula>
    </cfRule>
  </conditionalFormatting>
  <conditionalFormatting sqref="A19">
    <cfRule type="cellIs" dxfId="35" priority="2" stopIfTrue="1" operator="equal">
      <formula>"✓ Correct"</formula>
    </cfRule>
  </conditionalFormatting>
  <conditionalFormatting sqref="A30">
    <cfRule type="cellIs" dxfId="34" priority="3" stopIfTrue="1" operator="equal">
      <formula>"✓ Correct"</formula>
    </cfRule>
  </conditionalFormatting>
  <conditionalFormatting sqref="A37">
    <cfRule type="cellIs" dxfId="33" priority="4" stopIfTrue="1" operator="equal">
      <formula>"✓ Correct"</formula>
    </cfRule>
  </conditionalFormatting>
  <conditionalFormatting sqref="A41">
    <cfRule type="cellIs" dxfId="32" priority="5" stopIfTrue="1" operator="equal">
      <formula>"✓ Correct"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579D-8D2D-40CE-A0A3-06EA36FC47E6}">
  <dimension ref="A1:B47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283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285</v>
      </c>
    </row>
    <row r="5" spans="1:2" x14ac:dyDescent="0.2">
      <c r="A5" s="8" t="s">
        <v>172</v>
      </c>
      <c r="B5" s="10"/>
    </row>
    <row r="6" spans="1:2" x14ac:dyDescent="0.2">
      <c r="A6" s="5" t="str" cm="1">
        <f t="array" ref="A6">IF(ISBLANK(B5),"",IFERROR(IF(AND(ROWS(_xlfn.ANCHORARRAY(B5))=ROWS(_xlfn.ANCHORARRAY(Answers!$B$136)),COLUMNS(_xlfn.ANCHORARRAY(B5))=COLUMNS(_xlfn.ANCHORARRAY(Answers!$B$136)),AND(_xlfn.ANCHORARRAY(B5)=_xlfn.ANCHORARRAY(Answers!$B$136))),"✓ Correct","Not yet"),"Not yet"))</f>
        <v/>
      </c>
    </row>
    <row r="13" spans="1:2" x14ac:dyDescent="0.2">
      <c r="A13" s="5" t="s">
        <v>174</v>
      </c>
      <c r="B13" s="9" t="s">
        <v>287</v>
      </c>
    </row>
    <row r="14" spans="1:2" x14ac:dyDescent="0.2">
      <c r="A14" s="8" t="s">
        <v>172</v>
      </c>
      <c r="B14" s="10"/>
    </row>
    <row r="15" spans="1:2" x14ac:dyDescent="0.2">
      <c r="A15" s="5" t="str" cm="1">
        <f t="array" ref="A15">IF(ISBLANK(B14),"",IFERROR(IF(AND(ROWS(_xlfn.ANCHORARRAY(B14))=ROWS(_xlfn.ANCHORARRAY(Answers!$B$143)),COLUMNS(_xlfn.ANCHORARRAY(B14))=COLUMNS(_xlfn.ANCHORARRAY(Answers!$B$143)),AND(_xlfn.ANCHORARRAY(B14)=_xlfn.ANCHORARRAY(Answers!$B$143))),"✓ Correct","Not yet"),"Not yet"))</f>
        <v/>
      </c>
    </row>
    <row r="20" spans="1:2" x14ac:dyDescent="0.2">
      <c r="A20" s="5" t="s">
        <v>177</v>
      </c>
      <c r="B20" s="9" t="s">
        <v>289</v>
      </c>
    </row>
    <row r="21" spans="1:2" x14ac:dyDescent="0.2">
      <c r="A21" s="8" t="s">
        <v>172</v>
      </c>
      <c r="B21" s="10"/>
    </row>
    <row r="22" spans="1:2" x14ac:dyDescent="0.2">
      <c r="A22" s="5" t="str" cm="1">
        <f t="array" ref="A22">IF(ISBLANK(B21),"",IFERROR(IF(AND(ROWS(_xlfn.ANCHORARRAY(B21))=ROWS(_xlfn.ANCHORARRAY(Answers!$B$148)),COLUMNS(_xlfn.ANCHORARRAY(B21))=COLUMNS(_xlfn.ANCHORARRAY(Answers!$B$148)),AND(_xlfn.ANCHORARRAY(B21)=_xlfn.ANCHORARRAY(Answers!$B$148))),"✓ Correct","Not yet"),"Not yet"))</f>
        <v/>
      </c>
    </row>
    <row r="30" spans="1:2" x14ac:dyDescent="0.2">
      <c r="A30" s="5" t="s">
        <v>180</v>
      </c>
      <c r="B30" s="9" t="s">
        <v>291</v>
      </c>
    </row>
    <row r="31" spans="1:2" x14ac:dyDescent="0.2">
      <c r="A31" s="8" t="s">
        <v>172</v>
      </c>
      <c r="B31" s="10"/>
    </row>
    <row r="32" spans="1:2" x14ac:dyDescent="0.2">
      <c r="A32" s="5" t="str">
        <f>IF(ISBLANK(B31),"",IF(IFERROR(AND(B31=Answers!$B$156),FALSE),"✓ Correct","Not yet"))</f>
        <v/>
      </c>
    </row>
    <row r="34" spans="1:2" x14ac:dyDescent="0.2">
      <c r="A34" s="5" t="s">
        <v>210</v>
      </c>
      <c r="B34" s="9" t="s">
        <v>293</v>
      </c>
    </row>
    <row r="35" spans="1:2" x14ac:dyDescent="0.2">
      <c r="A35" s="8" t="s">
        <v>172</v>
      </c>
      <c r="B35" s="10"/>
    </row>
    <row r="36" spans="1:2" x14ac:dyDescent="0.2">
      <c r="A36" s="5" t="str" cm="1">
        <f t="array" ref="A36">IF(ISBLANK(B35),"",IFERROR(IF(AND(ROWS(_xlfn.ANCHORARRAY(B35))=ROWS(_xlfn.ANCHORARRAY(Answers!$B$158)),COLUMNS(_xlfn.ANCHORARRAY(B35))=COLUMNS(_xlfn.ANCHORARRAY(Answers!$B$158)),AND(_xlfn.ANCHORARRAY(B35)=_xlfn.ANCHORARRAY(Answers!$B$158))),"✓ Correct","Not yet"),"Not yet"))</f>
        <v/>
      </c>
    </row>
    <row r="45" spans="1:2" x14ac:dyDescent="0.2">
      <c r="A45" s="5" t="s">
        <v>235</v>
      </c>
      <c r="B45" s="9" t="s">
        <v>295</v>
      </c>
    </row>
    <row r="46" spans="1:2" x14ac:dyDescent="0.2">
      <c r="A46" s="8" t="s">
        <v>172</v>
      </c>
      <c r="B46" s="10"/>
    </row>
    <row r="47" spans="1:2" x14ac:dyDescent="0.2">
      <c r="A47" s="5" t="str" cm="1">
        <f t="array" ref="A47">IF(ISBLANK(B46),"",IFERROR(IF(AND(ROWS(_xlfn.ANCHORARRAY(B46))=ROWS(_xlfn.ANCHORARRAY(Answers!$B$167)),COLUMNS(_xlfn.ANCHORARRAY(B46))=COLUMNS(_xlfn.ANCHORARRAY(Answers!$B$167)),AND(_xlfn.ANCHORARRAY(B46)=_xlfn.ANCHORARRAY(Answers!$B$167))),"✓ Correct","Not yet"),"Not yet"))</f>
        <v/>
      </c>
    </row>
  </sheetData>
  <conditionalFormatting sqref="A6">
    <cfRule type="cellIs" dxfId="31" priority="1" stopIfTrue="1" operator="equal">
      <formula>"✓ Correct"</formula>
    </cfRule>
  </conditionalFormatting>
  <conditionalFormatting sqref="A15">
    <cfRule type="cellIs" dxfId="30" priority="2" stopIfTrue="1" operator="equal">
      <formula>"✓ Correct"</formula>
    </cfRule>
  </conditionalFormatting>
  <conditionalFormatting sqref="A22">
    <cfRule type="cellIs" dxfId="29" priority="3" stopIfTrue="1" operator="equal">
      <formula>"✓ Correct"</formula>
    </cfRule>
  </conditionalFormatting>
  <conditionalFormatting sqref="A32">
    <cfRule type="cellIs" dxfId="28" priority="4" stopIfTrue="1" operator="equal">
      <formula>"✓ Correct"</formula>
    </cfRule>
  </conditionalFormatting>
  <conditionalFormatting sqref="A36">
    <cfRule type="cellIs" dxfId="27" priority="5" stopIfTrue="1" operator="equal">
      <formula>"✓ Correct"</formula>
    </cfRule>
  </conditionalFormatting>
  <conditionalFormatting sqref="A47">
    <cfRule type="cellIs" dxfId="26" priority="6" stopIfTrue="1" operator="equal">
      <formula>"✓ Correct"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7943-D2FA-4ACC-B0B6-343B6311A9FF}">
  <dimension ref="A1:B42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296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298</v>
      </c>
    </row>
    <row r="5" spans="1:2" x14ac:dyDescent="0.2">
      <c r="A5" s="8" t="s">
        <v>172</v>
      </c>
      <c r="B5" s="10"/>
    </row>
    <row r="6" spans="1:2" x14ac:dyDescent="0.2">
      <c r="A6" s="5" t="str" cm="1">
        <f t="array" ref="A6">IF(ISBLANK(B5),"",IFERROR(IF(AND(ROWS(_xlfn.ANCHORARRAY(B5))=ROWS(_xlfn.ANCHORARRAY(Answers!$B$173)),COLUMNS(_xlfn.ANCHORARRAY(B5))=COLUMNS(_xlfn.ANCHORARRAY(Answers!$B$173)),AND(_xlfn.ANCHORARRAY(B5)=_xlfn.ANCHORARRAY(Answers!$B$173))),"✓ Correct","Not yet"),"Not yet"))</f>
        <v/>
      </c>
    </row>
    <row r="15" spans="1:2" x14ac:dyDescent="0.2">
      <c r="A15" s="5" t="s">
        <v>174</v>
      </c>
      <c r="B15" s="9" t="s">
        <v>300</v>
      </c>
    </row>
    <row r="16" spans="1:2" x14ac:dyDescent="0.2">
      <c r="A16" s="8" t="s">
        <v>172</v>
      </c>
      <c r="B16" s="10"/>
    </row>
    <row r="17" spans="1:2" x14ac:dyDescent="0.2">
      <c r="A17" s="5" t="str" cm="1">
        <f t="array" ref="A17">IF(ISBLANK(B16),"",IFERROR(IF(AND(ROWS(_xlfn.ANCHORARRAY(B16))=ROWS(_xlfn.ANCHORARRAY(Answers!$B$182)),COLUMNS(_xlfn.ANCHORARRAY(B16))=COLUMNS(_xlfn.ANCHORARRAY(Answers!$B$182)),AND(_xlfn.ANCHORARRAY(B16)=_xlfn.ANCHORARRAY(Answers!$B$182))),"✓ Correct","Not yet"),"Not yet"))</f>
        <v/>
      </c>
    </row>
    <row r="23" spans="1:2" x14ac:dyDescent="0.2">
      <c r="A23" s="5" t="s">
        <v>177</v>
      </c>
      <c r="B23" s="9" t="s">
        <v>302</v>
      </c>
    </row>
    <row r="24" spans="1:2" x14ac:dyDescent="0.2">
      <c r="A24" s="8" t="s">
        <v>172</v>
      </c>
      <c r="B24" s="10"/>
    </row>
    <row r="25" spans="1:2" x14ac:dyDescent="0.2">
      <c r="A25" s="5" t="str" cm="1">
        <f t="array" ref="A25">IF(ISBLANK(B24),"",IFERROR(IF(AND(ROWS(_xlfn.ANCHORARRAY(B24))=ROWS(_xlfn.ANCHORARRAY(Answers!$B$188)),COLUMNS(_xlfn.ANCHORARRAY(B24))=COLUMNS(_xlfn.ANCHORARRAY(Answers!$B$188)),AND(_xlfn.ANCHORARRAY(B24)=_xlfn.ANCHORARRAY(Answers!$B$188))),"✓ Correct","Not yet"),"Not yet"))</f>
        <v/>
      </c>
    </row>
    <row r="35" spans="1:2" x14ac:dyDescent="0.2">
      <c r="A35" s="5" t="s">
        <v>180</v>
      </c>
      <c r="B35" s="9" t="s">
        <v>304</v>
      </c>
    </row>
    <row r="36" spans="1:2" x14ac:dyDescent="0.2">
      <c r="A36" s="8" t="s">
        <v>172</v>
      </c>
      <c r="B36" s="10"/>
    </row>
    <row r="37" spans="1:2" x14ac:dyDescent="0.2">
      <c r="A37" s="5" t="str" cm="1">
        <f t="array" ref="A37">IF(ISBLANK(B36),"",IFERROR(IF(AND(ROWS(_xlfn.ANCHORARRAY(B36))=ROWS(_xlfn.ANCHORARRAY(Answers!$B$198)),COLUMNS(_xlfn.ANCHORARRAY(B36))=COLUMNS(_xlfn.ANCHORARRAY(Answers!$B$198)),AND(_xlfn.ANCHORARRAY(B36)=_xlfn.ANCHORARRAY(Answers!$B$198))),"✓ Correct","Not yet"),"Not yet"))</f>
        <v/>
      </c>
    </row>
    <row r="40" spans="1:2" x14ac:dyDescent="0.2">
      <c r="A40" s="5" t="s">
        <v>210</v>
      </c>
      <c r="B40" s="9" t="s">
        <v>306</v>
      </c>
    </row>
    <row r="41" spans="1:2" x14ac:dyDescent="0.2">
      <c r="A41" s="8" t="s">
        <v>172</v>
      </c>
      <c r="B41" s="10"/>
    </row>
    <row r="42" spans="1:2" x14ac:dyDescent="0.2">
      <c r="A42" s="5" t="str" cm="1">
        <f t="array" ref="A42">IF(ISBLANK(B41),"",IFERROR(IF(AND(ROWS(_xlfn.ANCHORARRAY(B41))=ROWS(_xlfn.ANCHORARRAY(Answers!$B$201)),COLUMNS(_xlfn.ANCHORARRAY(B41))=COLUMNS(_xlfn.ANCHORARRAY(Answers!$B$201)),AND(_xlfn.ANCHORARRAY(B41)=_xlfn.ANCHORARRAY(Answers!$B$201))),"✓ Correct","Not yet"),"Not yet"))</f>
        <v/>
      </c>
    </row>
  </sheetData>
  <conditionalFormatting sqref="A6">
    <cfRule type="cellIs" dxfId="25" priority="1" stopIfTrue="1" operator="equal">
      <formula>"✓ Correct"</formula>
    </cfRule>
  </conditionalFormatting>
  <conditionalFormatting sqref="A17">
    <cfRule type="cellIs" dxfId="24" priority="2" stopIfTrue="1" operator="equal">
      <formula>"✓ Correct"</formula>
    </cfRule>
  </conditionalFormatting>
  <conditionalFormatting sqref="A25">
    <cfRule type="cellIs" dxfId="23" priority="3" stopIfTrue="1" operator="equal">
      <formula>"✓ Correct"</formula>
    </cfRule>
  </conditionalFormatting>
  <conditionalFormatting sqref="A37">
    <cfRule type="cellIs" dxfId="22" priority="4" stopIfTrue="1" operator="equal">
      <formula>"✓ Correct"</formula>
    </cfRule>
  </conditionalFormatting>
  <conditionalFormatting sqref="A42">
    <cfRule type="cellIs" dxfId="21" priority="5" stopIfTrue="1" operator="equal">
      <formula>"✓ Correct"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155A-03C1-4CA3-A7B5-A6F2C74C1D46}">
  <dimension ref="A1:B1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307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309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IF(ISBLANK(B5),"",IF(IFERROR(AND(B5=Answers!$B$206),FALSE),"✓ Correct","Not yet"))</f>
        <v/>
      </c>
    </row>
    <row r="8" spans="1:2" x14ac:dyDescent="0.2">
      <c r="A8" s="5" t="s">
        <v>174</v>
      </c>
      <c r="B8" s="9" t="s">
        <v>311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IF(ISBLANK(B9),"",IF(IFERROR(AND(B9=Answers!$B$208),FALSE),"✓ Correct","Not yet"))</f>
        <v/>
      </c>
    </row>
    <row r="12" spans="1:2" x14ac:dyDescent="0.2">
      <c r="A12" s="5" t="s">
        <v>177</v>
      </c>
      <c r="B12" s="9" t="s">
        <v>313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IF(ISBLANK(B13),"",IF(IFERROR(AND(B13=Answers!$B$210),FALSE),"✓ Correct","Not yet"))</f>
        <v/>
      </c>
    </row>
    <row r="16" spans="1:2" x14ac:dyDescent="0.2">
      <c r="A16" s="5" t="s">
        <v>180</v>
      </c>
      <c r="B16" s="9" t="s">
        <v>315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IF(ISBLANK(B17),"",IF(IFERROR(AND(B17=Answers!$B$212),FALSE),"✓ Correct","Not yet"))</f>
        <v/>
      </c>
    </row>
  </sheetData>
  <conditionalFormatting sqref="A6">
    <cfRule type="cellIs" dxfId="20" priority="1" stopIfTrue="1" operator="equal">
      <formula>"✓ Correct"</formula>
    </cfRule>
  </conditionalFormatting>
  <conditionalFormatting sqref="A10">
    <cfRule type="cellIs" dxfId="19" priority="2" stopIfTrue="1" operator="equal">
      <formula>"✓ Correct"</formula>
    </cfRule>
  </conditionalFormatting>
  <conditionalFormatting sqref="A14">
    <cfRule type="cellIs" dxfId="18" priority="3" stopIfTrue="1" operator="equal">
      <formula>"✓ Correct"</formula>
    </cfRule>
  </conditionalFormatting>
  <conditionalFormatting sqref="A18">
    <cfRule type="cellIs" dxfId="17" priority="4" stopIfTrue="1" operator="equal">
      <formula>"✓ Correct"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FBD2-1EA3-449C-B265-C0E0FCFC3DB0}">
  <dimension ref="A1:B29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316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318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IF(ISBLANK(B5),"",IF(IFERROR(AND(B5=Answers!$B$214),FALSE),"✓ Correct","Not yet"))</f>
        <v/>
      </c>
    </row>
    <row r="8" spans="1:2" x14ac:dyDescent="0.2">
      <c r="A8" s="5" t="s">
        <v>174</v>
      </c>
      <c r="B8" s="9" t="s">
        <v>320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IF(ISBLANK(B9),"",IF(IFERROR(AND(B9=Answers!$B$216),FALSE),"✓ Correct","Not yet"))</f>
        <v/>
      </c>
    </row>
    <row r="12" spans="1:2" x14ac:dyDescent="0.2">
      <c r="A12" s="5" t="s">
        <v>177</v>
      </c>
      <c r="B12" s="9" t="s">
        <v>322</v>
      </c>
    </row>
    <row r="13" spans="1:2" x14ac:dyDescent="0.2">
      <c r="A13" s="8" t="s">
        <v>172</v>
      </c>
      <c r="B13" s="10"/>
    </row>
    <row r="14" spans="1:2" x14ac:dyDescent="0.2">
      <c r="A14" s="5" t="str" cm="1">
        <f t="array" ref="A14">IF(ISBLANK(B13),"",IFERROR(IF(AND(ROWS(_xlfn.ANCHORARRAY(B13))=ROWS(_xlfn.ANCHORARRAY(Answers!$B$218)),COLUMNS(_xlfn.ANCHORARRAY(B13))=COLUMNS(_xlfn.ANCHORARRAY(Answers!$B$218)),AND(_xlfn.ANCHORARRAY(B13)=_xlfn.ANCHORARRAY(Answers!$B$218))),"✓ Correct","Not yet"),"Not yet"))</f>
        <v/>
      </c>
    </row>
    <row r="23" spans="1:2" x14ac:dyDescent="0.2">
      <c r="A23" s="5" t="s">
        <v>180</v>
      </c>
      <c r="B23" s="9" t="s">
        <v>324</v>
      </c>
    </row>
    <row r="24" spans="1:2" x14ac:dyDescent="0.2">
      <c r="A24" s="8" t="s">
        <v>172</v>
      </c>
      <c r="B24" s="10"/>
    </row>
    <row r="25" spans="1:2" x14ac:dyDescent="0.2">
      <c r="A25" s="5" t="str">
        <f>IF(ISBLANK(B24),"",IF(IFERROR(AND(B24=Answers!$B$227),FALSE),"✓ Correct","Not yet"))</f>
        <v/>
      </c>
    </row>
    <row r="27" spans="1:2" x14ac:dyDescent="0.2">
      <c r="A27" s="5" t="s">
        <v>210</v>
      </c>
      <c r="B27" s="9" t="s">
        <v>326</v>
      </c>
    </row>
    <row r="28" spans="1:2" x14ac:dyDescent="0.2">
      <c r="A28" s="8" t="s">
        <v>172</v>
      </c>
      <c r="B28" s="10"/>
    </row>
    <row r="29" spans="1:2" x14ac:dyDescent="0.2">
      <c r="A29" s="5" t="str" cm="1">
        <f t="array" ref="A29">IF(ISBLANK(B28),"",IFERROR(IF(AND(ROWS(_xlfn.ANCHORARRAY(B28))=ROWS(_xlfn.ANCHORARRAY(Answers!$B$229)),COLUMNS(_xlfn.ANCHORARRAY(B28))=COLUMNS(_xlfn.ANCHORARRAY(Answers!$B$229)),AND(_xlfn.ANCHORARRAY(B28)=_xlfn.ANCHORARRAY(Answers!$B$229))),"✓ Correct","Not yet"),"Not yet"))</f>
        <v/>
      </c>
    </row>
  </sheetData>
  <conditionalFormatting sqref="A6">
    <cfRule type="cellIs" dxfId="16" priority="1" stopIfTrue="1" operator="equal">
      <formula>"✓ Correct"</formula>
    </cfRule>
  </conditionalFormatting>
  <conditionalFormatting sqref="A10">
    <cfRule type="cellIs" dxfId="15" priority="2" stopIfTrue="1" operator="equal">
      <formula>"✓ Correct"</formula>
    </cfRule>
  </conditionalFormatting>
  <conditionalFormatting sqref="A14">
    <cfRule type="cellIs" dxfId="14" priority="3" stopIfTrue="1" operator="equal">
      <formula>"✓ Correct"</formula>
    </cfRule>
  </conditionalFormatting>
  <conditionalFormatting sqref="A25">
    <cfRule type="cellIs" dxfId="13" priority="4" stopIfTrue="1" operator="equal">
      <formula>"✓ Correct"</formula>
    </cfRule>
  </conditionalFormatting>
  <conditionalFormatting sqref="A29">
    <cfRule type="cellIs" dxfId="12" priority="5" stopIfTrue="1" operator="equal">
      <formula>"✓ Correct"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AF28-D35B-4580-9DC3-BC33E4595BAB}">
  <dimension ref="A1:B1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327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329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IF(ISBLANK(B5),"",IF(IFERROR(AND(B5=Answers!$B$235),FALSE),"✓ Correct","Not yet"))</f>
        <v/>
      </c>
    </row>
    <row r="8" spans="1:2" x14ac:dyDescent="0.2">
      <c r="A8" s="5" t="s">
        <v>174</v>
      </c>
      <c r="B8" s="9" t="s">
        <v>331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IF(ISBLANK(B9),"",IF(IFERROR(AND(B9=Answers!$B$237),FALSE),"✓ Correct","Not yet"))</f>
        <v/>
      </c>
    </row>
    <row r="12" spans="1:2" x14ac:dyDescent="0.2">
      <c r="A12" s="5" t="s">
        <v>177</v>
      </c>
      <c r="B12" s="9" t="s">
        <v>333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IF(ISBLANK(B13),"",IF(IFERROR(AND(B13=Answers!$B$239),FALSE),"✓ Correct","Not yet"))</f>
        <v/>
      </c>
    </row>
    <row r="16" spans="1:2" x14ac:dyDescent="0.2">
      <c r="A16" s="5" t="s">
        <v>180</v>
      </c>
      <c r="B16" s="9" t="s">
        <v>335</v>
      </c>
    </row>
    <row r="17" spans="1:2" x14ac:dyDescent="0.2">
      <c r="A17" s="8" t="s">
        <v>172</v>
      </c>
      <c r="B17" s="10"/>
    </row>
    <row r="18" spans="1:2" x14ac:dyDescent="0.2">
      <c r="A18" s="5" t="str">
        <f>IF(ISBLANK(B17),"",IF(IFERROR(AND(B17=Answers!$B$241),FALSE),"✓ Correct","Not yet"))</f>
        <v/>
      </c>
    </row>
  </sheetData>
  <conditionalFormatting sqref="A6">
    <cfRule type="cellIs" dxfId="11" priority="1" stopIfTrue="1" operator="equal">
      <formula>"✓ Correct"</formula>
    </cfRule>
  </conditionalFormatting>
  <conditionalFormatting sqref="A10">
    <cfRule type="cellIs" dxfId="10" priority="2" stopIfTrue="1" operator="equal">
      <formula>"✓ Correct"</formula>
    </cfRule>
  </conditionalFormatting>
  <conditionalFormatting sqref="A14">
    <cfRule type="cellIs" dxfId="9" priority="3" stopIfTrue="1" operator="equal">
      <formula>"✓ Correct"</formula>
    </cfRule>
  </conditionalFormatting>
  <conditionalFormatting sqref="A18">
    <cfRule type="cellIs" dxfId="8" priority="4" stopIfTrue="1" operator="equal">
      <formula>"✓ Correct"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5078-1F64-4D09-97C4-6968C557B471}">
  <dimension ref="A1:B14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336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338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IF(ISBLANK(B5),"",IF(IFERROR(AND(B5=Answers!$B$243),FALSE),"✓ Correct","Not yet"))</f>
        <v/>
      </c>
    </row>
    <row r="8" spans="1:2" x14ac:dyDescent="0.2">
      <c r="A8" s="5" t="s">
        <v>174</v>
      </c>
      <c r="B8" s="9" t="s">
        <v>340</v>
      </c>
    </row>
    <row r="9" spans="1:2" x14ac:dyDescent="0.2">
      <c r="A9" s="8" t="s">
        <v>172</v>
      </c>
      <c r="B9" s="10"/>
    </row>
    <row r="10" spans="1:2" x14ac:dyDescent="0.2">
      <c r="A10" s="5" t="str">
        <f>IF(ISBLANK(B9),"",IF(IFERROR(AND(B9=Answers!$B$245),FALSE),"✓ Correct","Not yet"))</f>
        <v/>
      </c>
    </row>
    <row r="12" spans="1:2" x14ac:dyDescent="0.2">
      <c r="A12" s="5" t="s">
        <v>177</v>
      </c>
      <c r="B12" s="9" t="s">
        <v>342</v>
      </c>
    </row>
    <row r="13" spans="1:2" x14ac:dyDescent="0.2">
      <c r="A13" s="8" t="s">
        <v>172</v>
      </c>
      <c r="B13" s="10"/>
    </row>
    <row r="14" spans="1:2" x14ac:dyDescent="0.2">
      <c r="A14" s="5" t="str">
        <f>IF(ISBLANK(B13),"",IF(IFERROR(AND(B13=Answers!$B$247),FALSE),"✓ Correct","Not yet"))</f>
        <v/>
      </c>
    </row>
  </sheetData>
  <conditionalFormatting sqref="A6">
    <cfRule type="cellIs" dxfId="7" priority="1" stopIfTrue="1" operator="equal">
      <formula>"✓ Correct"</formula>
    </cfRule>
  </conditionalFormatting>
  <conditionalFormatting sqref="A10">
    <cfRule type="cellIs" dxfId="6" priority="2" stopIfTrue="1" operator="equal">
      <formula>"✓ Correct"</formula>
    </cfRule>
  </conditionalFormatting>
  <conditionalFormatting sqref="A14">
    <cfRule type="cellIs" dxfId="5" priority="3" stopIfTrue="1" operator="equal">
      <formula>"✓ Correct"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1F93-1CF4-4327-AACF-7C6CFFD69D31}">
  <dimension ref="A1:B28"/>
  <sheetViews>
    <sheetView workbookViewId="0"/>
  </sheetViews>
  <sheetFormatPr defaultRowHeight="12.75" x14ac:dyDescent="0.2"/>
  <cols>
    <col min="1" max="1" width="14.7109375" customWidth="1"/>
    <col min="2" max="2" width="22.7109375" style="9" customWidth="1"/>
  </cols>
  <sheetData>
    <row r="1" spans="1:2" ht="20.25" x14ac:dyDescent="0.3">
      <c r="A1" s="7" t="s">
        <v>343</v>
      </c>
    </row>
    <row r="2" spans="1:2" x14ac:dyDescent="0.2">
      <c r="A2" s="8" t="s">
        <v>168</v>
      </c>
    </row>
    <row r="4" spans="1:2" x14ac:dyDescent="0.2">
      <c r="A4" s="5" t="s">
        <v>170</v>
      </c>
      <c r="B4" s="9" t="s">
        <v>345</v>
      </c>
    </row>
    <row r="5" spans="1:2" x14ac:dyDescent="0.2">
      <c r="A5" s="8" t="s">
        <v>172</v>
      </c>
      <c r="B5" s="10"/>
    </row>
    <row r="6" spans="1:2" x14ac:dyDescent="0.2">
      <c r="A6" s="5" t="str">
        <f>IF(ISBLANK(B5),"",IF(IFERROR(AND(B5=Answers!$B$249),FALSE),"✓ Correct","Not yet"))</f>
        <v/>
      </c>
    </row>
    <row r="8" spans="1:2" x14ac:dyDescent="0.2">
      <c r="A8" s="5" t="s">
        <v>174</v>
      </c>
      <c r="B8" s="9" t="s">
        <v>347</v>
      </c>
    </row>
    <row r="9" spans="1:2" x14ac:dyDescent="0.2">
      <c r="A9" s="8" t="s">
        <v>172</v>
      </c>
      <c r="B9" s="10"/>
    </row>
    <row r="10" spans="1:2" x14ac:dyDescent="0.2">
      <c r="A10" s="5" t="str" cm="1">
        <f t="array" ref="A10">IF(ISBLANK(B9),"",IFERROR(IF(AND(ROWS(_xlfn.ANCHORARRAY(B9))=ROWS(_xlfn.ANCHORARRAY(Answers!$B$251)),COLUMNS(_xlfn.ANCHORARRAY(B9))=COLUMNS(_xlfn.ANCHORARRAY(Answers!$B$251)),AND(_xlfn.ANCHORARRAY(B9)=_xlfn.ANCHORARRAY(Answers!$B$251))),"✓ Correct","Not yet"),"Not yet"))</f>
        <v/>
      </c>
    </row>
    <row r="13" spans="1:2" x14ac:dyDescent="0.2">
      <c r="A13" s="5" t="s">
        <v>177</v>
      </c>
      <c r="B13" s="9" t="s">
        <v>349</v>
      </c>
    </row>
    <row r="14" spans="1:2" x14ac:dyDescent="0.2">
      <c r="A14" s="8" t="s">
        <v>172</v>
      </c>
      <c r="B14" s="10"/>
    </row>
    <row r="15" spans="1:2" x14ac:dyDescent="0.2">
      <c r="A15" s="5" t="str" cm="1">
        <f t="array" ref="A15">IF(ISBLANK(B14),"",IFERROR(IF(AND(ROWS(_xlfn.ANCHORARRAY(B14))=ROWS(_xlfn.ANCHORARRAY(Answers!$B$254)),COLUMNS(_xlfn.ANCHORARRAY(B14))=COLUMNS(_xlfn.ANCHORARRAY(Answers!$B$254)),AND(_xlfn.ANCHORARRAY(B14)=_xlfn.ANCHORARRAY(Answers!$B$254))),"✓ Correct","Not yet"),"Not yet"))</f>
        <v/>
      </c>
    </row>
    <row r="22" spans="1:2" x14ac:dyDescent="0.2">
      <c r="A22" s="5" t="s">
        <v>180</v>
      </c>
      <c r="B22" s="9" t="s">
        <v>351</v>
      </c>
    </row>
    <row r="23" spans="1:2" x14ac:dyDescent="0.2">
      <c r="A23" s="8" t="s">
        <v>172</v>
      </c>
      <c r="B23" s="10"/>
    </row>
    <row r="24" spans="1:2" x14ac:dyDescent="0.2">
      <c r="A24" s="5" t="str">
        <f>IF(ISBLANK(B23),"",IF(IFERROR(AND(B23=Answers!$B$261),FALSE),"✓ Correct","Not yet"))</f>
        <v/>
      </c>
    </row>
    <row r="26" spans="1:2" x14ac:dyDescent="0.2">
      <c r="A26" s="5" t="s">
        <v>210</v>
      </c>
      <c r="B26" s="9" t="s">
        <v>353</v>
      </c>
    </row>
    <row r="27" spans="1:2" x14ac:dyDescent="0.2">
      <c r="A27" s="8" t="s">
        <v>172</v>
      </c>
      <c r="B27" s="10"/>
    </row>
    <row r="28" spans="1:2" x14ac:dyDescent="0.2">
      <c r="A28" s="5" t="str">
        <f>IF(ISBLANK(B27),"",IF(IFERROR(AND(B27=Answers!$B$263),FALSE),"✓ Correct","Not yet"))</f>
        <v/>
      </c>
    </row>
  </sheetData>
  <conditionalFormatting sqref="A6">
    <cfRule type="cellIs" dxfId="4" priority="1" stopIfTrue="1" operator="equal">
      <formula>"✓ Correct"</formula>
    </cfRule>
  </conditionalFormatting>
  <conditionalFormatting sqref="A10">
    <cfRule type="cellIs" dxfId="3" priority="2" stopIfTrue="1" operator="equal">
      <formula>"✓ Correct"</formula>
    </cfRule>
  </conditionalFormatting>
  <conditionalFormatting sqref="A15">
    <cfRule type="cellIs" dxfId="2" priority="3" stopIfTrue="1" operator="equal">
      <formula>"✓ Correct"</formula>
    </cfRule>
  </conditionalFormatting>
  <conditionalFormatting sqref="A24">
    <cfRule type="cellIs" dxfId="1" priority="4" stopIfTrue="1" operator="equal">
      <formula>"✓ Correct"</formula>
    </cfRule>
  </conditionalFormatting>
  <conditionalFormatting sqref="A28">
    <cfRule type="cellIs" dxfId="0" priority="5" stopIfTrue="1" operator="equal">
      <formula>"✓ Correct"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</vt:i4>
      </vt:variant>
    </vt:vector>
  </HeadingPairs>
  <TitlesOfParts>
    <vt:vector size="29" baseType="lpstr">
      <vt:lpstr>Start here</vt:lpstr>
      <vt:lpstr>Sales</vt:lpstr>
      <vt:lpstr>Products</vt:lpstr>
      <vt:lpstr>Staff</vt:lpstr>
      <vt:lpstr>Leads</vt:lpstr>
      <vt:lpstr>Targets</vt:lpstr>
      <vt:lpstr>Tiers</vt:lpstr>
      <vt:lpstr>Settings</vt:lpstr>
      <vt:lpstr>A1</vt:lpstr>
      <vt:lpstr>A2</vt:lpstr>
      <vt:lpstr>A3</vt:lpstr>
      <vt:lpstr>A4</vt:lpstr>
      <vt:lpstr>B1</vt:lpstr>
      <vt:lpstr>B2</vt:lpstr>
      <vt:lpstr>B3</vt:lpstr>
      <vt:lpstr>B4</vt:lpstr>
      <vt:lpstr>B5</vt:lpstr>
      <vt:lpstr>C1</vt:lpstr>
      <vt:lpstr>C2</vt:lpstr>
      <vt:lpstr>C3</vt:lpstr>
      <vt:lpstr>C4</vt:lpstr>
      <vt:lpstr>C5</vt:lpstr>
      <vt:lpstr>D1</vt:lpstr>
      <vt:lpstr>D2</vt:lpstr>
      <vt:lpstr>D3</vt:lpstr>
      <vt:lpstr>MinOrder</vt:lpstr>
      <vt:lpstr>ReportEnd</vt:lpstr>
      <vt:lpstr>ReportStart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Cellsmith Academy practice workbook</dc:title>
  <dc:subject>Excel formula exercises</dc:subject>
  <dc:creator>Cellsmith Academy</dc:creator>
  <cp:lastModifiedBy>Daniyal M</cp:lastModifiedBy>
  <dcterms:created xsi:type="dcterms:W3CDTF">2026-10-02T23:36:30Z</dcterms:created>
  <dcterms:modified xsi:type="dcterms:W3CDTF">2026-10-02T23:36:46Z</dcterms:modified>
</cp:coreProperties>
</file>